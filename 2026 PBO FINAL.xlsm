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Louie\PBOAdmin\"/>
    </mc:Choice>
  </mc:AlternateContent>
  <xr:revisionPtr revIDLastSave="0" documentId="13_ncr:1_{34A10D7E-E8B8-4FF1-B0C0-80AB9680C118}" xr6:coauthVersionLast="47" xr6:coauthVersionMax="47" xr10:uidLastSave="{00000000-0000-0000-0000-000000000000}"/>
  <bookViews>
    <workbookView xWindow="-120" yWindow="-120" windowWidth="29040" windowHeight="15720" xr2:uid="{FA0B91DF-3566-433A-AA0E-8C9615A84AB4}"/>
  </bookViews>
  <sheets>
    <sheet name="CHARGE SLIP" sheetId="4" r:id="rId1"/>
    <sheet name="Reference" sheetId="3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  <sheet name="8" sheetId="12" r:id="rId10"/>
    <sheet name="9" sheetId="13" r:id="rId11"/>
    <sheet name="10" sheetId="14" r:id="rId12"/>
    <sheet name="11" sheetId="15" r:id="rId13"/>
    <sheet name="12" sheetId="16" r:id="rId14"/>
    <sheet name="13" sheetId="17" r:id="rId15"/>
    <sheet name="14" sheetId="18" r:id="rId16"/>
    <sheet name="15" sheetId="19" r:id="rId17"/>
    <sheet name="16" sheetId="20" r:id="rId18"/>
    <sheet name="17" sheetId="21" r:id="rId19"/>
    <sheet name="18" sheetId="22" r:id="rId20"/>
    <sheet name="19" sheetId="23" r:id="rId21"/>
    <sheet name="20" sheetId="24" r:id="rId22"/>
    <sheet name="21" sheetId="25" r:id="rId23"/>
    <sheet name="22" sheetId="26" r:id="rId24"/>
    <sheet name="23" sheetId="27" r:id="rId25"/>
    <sheet name="24" sheetId="28" r:id="rId26"/>
    <sheet name="25" sheetId="29" r:id="rId27"/>
    <sheet name="26" sheetId="30" r:id="rId28"/>
    <sheet name="27" sheetId="31" r:id="rId29"/>
    <sheet name="28" sheetId="32" r:id="rId30"/>
    <sheet name="29" sheetId="33" r:id="rId31"/>
    <sheet name="30" sheetId="34" r:id="rId32"/>
    <sheet name="31" sheetId="35" r:id="rId33"/>
    <sheet name="32" sheetId="36" r:id="rId34"/>
    <sheet name="33" sheetId="37" r:id="rId35"/>
    <sheet name="34" sheetId="38" r:id="rId36"/>
    <sheet name="35" sheetId="39" r:id="rId37"/>
    <sheet name="36" sheetId="40" r:id="rId38"/>
    <sheet name="37" sheetId="41" r:id="rId39"/>
    <sheet name="38" sheetId="42" r:id="rId40"/>
  </sheets>
  <definedNames>
    <definedName name="_xlnm.Print_Area" localSheetId="0">'CHARGE SLIP'!$A$4:$G$24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9" i="3" l="1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D16" i="4"/>
  <c r="D18" i="4" s="1"/>
  <c r="E3" i="3"/>
  <c r="D15" i="4"/>
  <c r="G14" i="4"/>
  <c r="E2" i="3"/>
  <c r="D14" i="4"/>
</calcChain>
</file>

<file path=xl/sharedStrings.xml><?xml version="1.0" encoding="utf-8"?>
<sst xmlns="http://schemas.openxmlformats.org/spreadsheetml/2006/main" count="406" uniqueCount="106">
  <si>
    <t>Account Code</t>
  </si>
  <si>
    <t xml:space="preserve"> Salaries Wages - Regular</t>
  </si>
  <si>
    <t>5-01-01-010</t>
  </si>
  <si>
    <t xml:space="preserve"> PERA (22)</t>
  </si>
  <si>
    <t>5-01-02-010</t>
  </si>
  <si>
    <t xml:space="preserve"> Representation Allowance (RA)</t>
  </si>
  <si>
    <t>5-01-02-020</t>
  </si>
  <si>
    <t xml:space="preserve"> Transportation Allowance (TA)</t>
  </si>
  <si>
    <t>5-01-02-030</t>
  </si>
  <si>
    <t xml:space="preserve"> Clothing/Uniform Allowance</t>
  </si>
  <si>
    <t>5-01-02-040</t>
  </si>
  <si>
    <t xml:space="preserve"> Overtime &amp; Night Pay</t>
  </si>
  <si>
    <t>5-01-02-130</t>
  </si>
  <si>
    <t xml:space="preserve"> Year End Bonus</t>
  </si>
  <si>
    <t>5-01-02-140</t>
  </si>
  <si>
    <t xml:space="preserve"> Cash Gift </t>
  </si>
  <si>
    <t>5-01-02-150</t>
  </si>
  <si>
    <t xml:space="preserve"> Other Bonuses &amp; Allowances (Mid-Year)</t>
  </si>
  <si>
    <t>5-01-02-990</t>
  </si>
  <si>
    <t xml:space="preserve"> Other Bonuses &amp; Allowances (PEI)</t>
  </si>
  <si>
    <t xml:space="preserve"> Other Bonuses &amp; Allowances (Med)</t>
  </si>
  <si>
    <t>Other Bonuses &amp; Allowances (Anniv. Bonus)</t>
  </si>
  <si>
    <t xml:space="preserve"> Retirement &amp; Life Insurance Premiums</t>
  </si>
  <si>
    <t>5-01-03-010</t>
  </si>
  <si>
    <t xml:space="preserve"> Pag-IBIG Contributions</t>
  </si>
  <si>
    <t>5-01-03-020</t>
  </si>
  <si>
    <t xml:space="preserve"> PhilHealth Contributions </t>
  </si>
  <si>
    <t>5-01-03-030</t>
  </si>
  <si>
    <t xml:space="preserve"> Employees Compensation Ins. Premiums</t>
  </si>
  <si>
    <t>5-01-03-040</t>
  </si>
  <si>
    <t>Terminal Leave Benefits</t>
  </si>
  <si>
    <t>5-01-04-030</t>
  </si>
  <si>
    <t>Other Personnel Benefits (CNA)</t>
  </si>
  <si>
    <t>5-01-04-990</t>
  </si>
  <si>
    <t>Other Personnel Benefits (SRI)</t>
  </si>
  <si>
    <t>Traveling Expenses - Local</t>
  </si>
  <si>
    <t>5-02-01-010</t>
  </si>
  <si>
    <t>Training Expenses</t>
  </si>
  <si>
    <t>5-02-02-010</t>
  </si>
  <si>
    <t>Office Supplies Expenses</t>
  </si>
  <si>
    <t>5-02-03-010</t>
  </si>
  <si>
    <t>Office Supplies Expenses (Janitorial)</t>
  </si>
  <si>
    <t>Office Supplies Expenses -(Budget Prep.)</t>
  </si>
  <si>
    <t>Fuel, Oil &amp; Lubricant Expenses</t>
  </si>
  <si>
    <t>5-02-03-090</t>
  </si>
  <si>
    <t>Semi-Expendable Machinery and Equipment Expenses</t>
  </si>
  <si>
    <t>5-02-03-210</t>
  </si>
  <si>
    <t xml:space="preserve">Telephone Expenses </t>
  </si>
  <si>
    <t>5-02-05-020</t>
  </si>
  <si>
    <t>Telephone Expenses - Mobile</t>
  </si>
  <si>
    <t>Internet Subscription Expenses</t>
  </si>
  <si>
    <t>5-02-05-030</t>
  </si>
  <si>
    <t>Cable, Satelite, Telegraph &amp; Radio Expns.</t>
  </si>
  <si>
    <t>5-02-05-040</t>
  </si>
  <si>
    <t>Other Professional Services</t>
  </si>
  <si>
    <t>5-02-11-990</t>
  </si>
  <si>
    <t>Other General Services</t>
  </si>
  <si>
    <t>5-02-12-990</t>
  </si>
  <si>
    <t xml:space="preserve">Repairs &amp; Maint.-Machinery &amp; Equipment </t>
  </si>
  <si>
    <t>5-02-13-050</t>
  </si>
  <si>
    <t>Repairs &amp; Maint.-Transportation Equipment</t>
  </si>
  <si>
    <t>5-02-13-060</t>
  </si>
  <si>
    <t>Insurance Expenses</t>
  </si>
  <si>
    <t>5-02-16-030</t>
  </si>
  <si>
    <t>Printing &amp; Publication Expenses</t>
  </si>
  <si>
    <t>5-02-99-020</t>
  </si>
  <si>
    <t>Other Maint. &amp; Operating Expenses</t>
  </si>
  <si>
    <t>5-02-99-990</t>
  </si>
  <si>
    <t>IT Equipment</t>
  </si>
  <si>
    <t>1-07-05-030</t>
  </si>
  <si>
    <t>G. ANTONIO ARBIS</t>
  </si>
  <si>
    <t>Provincial Budget Officer</t>
  </si>
  <si>
    <t>REFERENCE NO.</t>
  </si>
  <si>
    <t>ACCOUNTS</t>
  </si>
  <si>
    <t>Total
 Appropriation</t>
  </si>
  <si>
    <t>Appropriation 
Balance</t>
  </si>
  <si>
    <t>Requested by:</t>
  </si>
  <si>
    <t>BALANCE OF ALLOTMENT</t>
  </si>
  <si>
    <t>LESS: THIS CLAIM (VOUCHER/RIV)</t>
  </si>
  <si>
    <t>BALANCE OF ALLOTMENT:</t>
  </si>
  <si>
    <t>TOTAL APPROPRIATION: (2025)</t>
  </si>
  <si>
    <t>ACCOUNT NAME/ CODE:</t>
  </si>
  <si>
    <t>STATUS OF APPROPRIATION AND ALLOTMENT</t>
  </si>
  <si>
    <t>PROGRAM:</t>
  </si>
  <si>
    <t>DATE:</t>
  </si>
  <si>
    <t>PROVINCIAL BUDGET OFFICE</t>
  </si>
  <si>
    <t>OFFICE:</t>
  </si>
  <si>
    <t>CPG-PBO-F04</t>
  </si>
  <si>
    <t>00</t>
  </si>
  <si>
    <t>Document Number:</t>
  </si>
  <si>
    <t>CHARGE SLIP</t>
  </si>
  <si>
    <t>Reserved for ISO Certification Logo</t>
  </si>
  <si>
    <t>Rev No</t>
  </si>
  <si>
    <t>Document Title:</t>
  </si>
  <si>
    <t>Salaries &amp; Wages-Regular</t>
  </si>
  <si>
    <t>Search</t>
  </si>
  <si>
    <t>Reference</t>
  </si>
  <si>
    <t>Date</t>
  </si>
  <si>
    <t>Particulars</t>
  </si>
  <si>
    <t>Obligated Amount</t>
  </si>
  <si>
    <t>Remaining Balance</t>
  </si>
  <si>
    <t>ARO NO. 2026 (Initial)</t>
  </si>
  <si>
    <t>Other Bonuses &amp; Allowances (Med)</t>
  </si>
  <si>
    <t>Employees Compensation Ins. Premiums</t>
  </si>
  <si>
    <t>Telephone Expenses</t>
  </si>
  <si>
    <t>Repairs &amp; Maint.-Machinery &amp;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</si>
</sst>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&quot;P&quot;* #,##0.00_);_(&quot;P&quot;* \(#,##0.00\);_(&quot;P&quot;* &quot;-&quot;??_);_(@_)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theme="1"/>
      <name val="Times New Roman"/>
      <family val="1"/>
    </font>
    <font>
      <b/>
      <sz val="18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1" fillId="0" borderId="0"/>
    <xf numFmtId="0" fontId="23" fillId="0" borderId="0" applyNumberFormat="0" applyFill="0" applyBorder="0" applyAlignment="0" applyProtection="0"/>
  </cellStyleXfs>
  <cellXfs count="102">
    <xf numFmtId="0" fontId="0" fillId="0" borderId="0" xfId="0"/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5" fillId="4" borderId="1" xfId="0" applyFont="1" applyFill="1" applyBorder="1"/>
    <xf numFmtId="43" fontId="5" fillId="4" borderId="1" xfId="1" applyFont="1" applyFill="1" applyBorder="1" applyAlignment="1" applyProtection="1">
      <alignment horizontal="center" wrapText="1"/>
    </xf>
    <xf numFmtId="0" fontId="5" fillId="4" borderId="1" xfId="0" applyFont="1" applyFill="1" applyBorder="1" applyAlignment="1">
      <alignment horizontal="center" wrapText="1"/>
    </xf>
    <xf numFmtId="0" fontId="1" fillId="0" borderId="0" xfId="8"/>
    <xf numFmtId="0" fontId="6" fillId="0" borderId="2" xfId="8" applyFont="1" applyBorder="1"/>
    <xf numFmtId="0" fontId="6" fillId="0" borderId="3" xfId="8" applyFont="1" applyBorder="1"/>
    <xf numFmtId="0" fontId="6" fillId="0" borderId="4" xfId="8" applyFont="1" applyBorder="1"/>
    <xf numFmtId="0" fontId="6" fillId="0" borderId="5" xfId="8" applyFont="1" applyBorder="1"/>
    <xf numFmtId="0" fontId="7" fillId="0" borderId="0" xfId="8" applyFont="1"/>
    <xf numFmtId="0" fontId="8" fillId="0" borderId="0" xfId="8" applyFont="1"/>
    <xf numFmtId="0" fontId="6" fillId="0" borderId="0" xfId="8" applyFont="1"/>
    <xf numFmtId="0" fontId="10" fillId="0" borderId="5" xfId="8" applyFont="1" applyBorder="1"/>
    <xf numFmtId="0" fontId="10" fillId="0" borderId="0" xfId="8" applyFont="1"/>
    <xf numFmtId="0" fontId="6" fillId="0" borderId="6" xfId="8" applyFont="1" applyBorder="1"/>
    <xf numFmtId="0" fontId="6" fillId="0" borderId="7" xfId="8" applyFont="1" applyBorder="1"/>
    <xf numFmtId="0" fontId="6" fillId="0" borderId="12" xfId="8" applyFont="1" applyBorder="1"/>
    <xf numFmtId="43" fontId="6" fillId="0" borderId="14" xfId="8" applyNumberFormat="1" applyFont="1" applyBorder="1"/>
    <xf numFmtId="43" fontId="10" fillId="0" borderId="0" xfId="8" applyNumberFormat="1" applyFont="1"/>
    <xf numFmtId="0" fontId="6" fillId="0" borderId="17" xfId="8" applyFont="1" applyBorder="1"/>
    <xf numFmtId="0" fontId="6" fillId="0" borderId="18" xfId="8" applyFont="1" applyBorder="1"/>
    <xf numFmtId="0" fontId="6" fillId="0" borderId="19" xfId="8" applyFont="1" applyBorder="1"/>
    <xf numFmtId="0" fontId="12" fillId="0" borderId="19" xfId="8" applyFont="1" applyBorder="1"/>
    <xf numFmtId="0" fontId="6" fillId="0" borderId="20" xfId="8" applyFont="1" applyBorder="1"/>
    <xf numFmtId="0" fontId="6" fillId="0" borderId="21" xfId="8" applyFont="1" applyBorder="1"/>
    <xf numFmtId="14" fontId="6" fillId="0" borderId="22" xfId="8" applyNumberFormat="1" applyFont="1" applyBorder="1"/>
    <xf numFmtId="0" fontId="6" fillId="0" borderId="23" xfId="8" applyFont="1" applyBorder="1"/>
    <xf numFmtId="0" fontId="10" fillId="0" borderId="22" xfId="8" applyFont="1" applyBorder="1"/>
    <xf numFmtId="0" fontId="10" fillId="0" borderId="23" xfId="8" applyFont="1" applyBorder="1"/>
    <xf numFmtId="0" fontId="6" fillId="0" borderId="24" xfId="8" applyFont="1" applyBorder="1"/>
    <xf numFmtId="0" fontId="13" fillId="0" borderId="5" xfId="8" applyFont="1" applyBorder="1" applyAlignment="1">
      <alignment horizontal="center" vertical="center" wrapText="1"/>
    </xf>
    <xf numFmtId="0" fontId="14" fillId="0" borderId="0" xfId="8" applyFont="1" applyAlignment="1">
      <alignment horizontal="center" vertical="center"/>
    </xf>
    <xf numFmtId="0" fontId="14" fillId="0" borderId="0" xfId="8" applyFont="1" applyAlignment="1">
      <alignment horizontal="center"/>
    </xf>
    <xf numFmtId="0" fontId="15" fillId="0" borderId="0" xfId="8" applyFont="1" applyAlignment="1">
      <alignment horizontal="center"/>
    </xf>
    <xf numFmtId="0" fontId="15" fillId="0" borderId="6" xfId="8" applyFont="1" applyBorder="1" applyAlignment="1">
      <alignment horizontal="center"/>
    </xf>
    <xf numFmtId="0" fontId="1" fillId="5" borderId="0" xfId="8" applyFill="1"/>
    <xf numFmtId="0" fontId="19" fillId="0" borderId="0" xfId="8" applyFont="1"/>
    <xf numFmtId="0" fontId="20" fillId="5" borderId="0" xfId="8" applyFont="1" applyFill="1"/>
    <xf numFmtId="14" fontId="24" fillId="0" borderId="0" xfId="9" quotePrefix="1" applyNumberFormat="1" applyFont="1"/>
    <xf numFmtId="43" fontId="25" fillId="3" borderId="1" xfId="0" applyNumberFormat="1" applyFont="1" applyFill="1" applyBorder="1" applyAlignment="1">
      <alignment vertical="center"/>
    </xf>
    <xf numFmtId="43" fontId="5" fillId="3" borderId="1" xfId="0" applyNumberFormat="1" applyFont="1" applyFill="1" applyBorder="1" applyAlignment="1">
      <alignment vertical="center"/>
    </xf>
    <xf numFmtId="43" fontId="22" fillId="3" borderId="1" xfId="0" applyNumberFormat="1" applyFont="1" applyFill="1" applyBorder="1" applyAlignment="1">
      <alignment vertical="center"/>
    </xf>
    <xf numFmtId="14" fontId="26" fillId="6" borderId="40" xfId="0" applyNumberFormat="1" applyFont="1" applyFill="1" applyBorder="1"/>
    <xf numFmtId="0" fontId="26" fillId="6" borderId="40" xfId="0" applyFont="1" applyFill="1" applyBorder="1"/>
    <xf numFmtId="43" fontId="26" fillId="6" borderId="40" xfId="1" applyFont="1" applyFill="1" applyBorder="1"/>
    <xf numFmtId="43" fontId="26" fillId="6" borderId="41" xfId="1" applyFont="1" applyFill="1" applyBorder="1"/>
    <xf numFmtId="14" fontId="27" fillId="7" borderId="42" xfId="0" applyNumberFormat="1" applyFont="1" applyFill="1" applyBorder="1" applyAlignment="1">
      <alignment horizontal="center" vertical="center"/>
    </xf>
    <xf numFmtId="0" fontId="27" fillId="7" borderId="42" xfId="0" applyFont="1" applyFill="1" applyBorder="1" applyAlignment="1">
      <alignment horizontal="left" vertical="center"/>
    </xf>
    <xf numFmtId="43" fontId="27" fillId="7" borderId="42" xfId="1" applyFont="1" applyFill="1" applyBorder="1" applyAlignment="1">
      <alignment horizontal="center" vertical="center"/>
    </xf>
    <xf numFmtId="43" fontId="27" fillId="7" borderId="43" xfId="1" applyFont="1" applyFill="1" applyBorder="1" applyAlignment="1">
      <alignment horizontal="center" vertical="center"/>
    </xf>
    <xf numFmtId="14" fontId="27" fillId="0" borderId="0" xfId="0" applyNumberFormat="1" applyFont="1"/>
    <xf numFmtId="0" fontId="27" fillId="0" borderId="0" xfId="0" applyFont="1"/>
    <xf numFmtId="43" fontId="27" fillId="0" borderId="0" xfId="1" applyFont="1"/>
    <xf numFmtId="43" fontId="28" fillId="3" borderId="1" xfId="0" applyNumberFormat="1" applyFont="1" applyFill="1" applyBorder="1" applyAlignment="1">
      <alignment vertical="center"/>
    </xf>
    <xf numFmtId="43" fontId="28" fillId="0" borderId="1" xfId="0" applyNumberFormat="1" applyFont="1" applyBorder="1"/>
    <xf numFmtId="43" fontId="28" fillId="8" borderId="1" xfId="0" applyNumberFormat="1" applyFont="1" applyFill="1" applyBorder="1"/>
    <xf numFmtId="0" fontId="28" fillId="0" borderId="1" xfId="0" applyFont="1" applyBorder="1"/>
    <xf numFmtId="0" fontId="28" fillId="8" borderId="1" xfId="0" applyFont="1" applyFill="1" applyBorder="1"/>
    <xf numFmtId="43" fontId="29" fillId="0" borderId="1" xfId="9" applyNumberFormat="1" applyFont="1" applyBorder="1"/>
    <xf numFmtId="43" fontId="29" fillId="8" borderId="1" xfId="9" applyNumberFormat="1" applyFont="1" applyFill="1" applyBorder="1"/>
    <xf numFmtId="0" fontId="29" fillId="8" borderId="1" xfId="9" applyFont="1" applyFill="1" applyBorder="1"/>
    <xf numFmtId="0" fontId="29" fillId="0" borderId="1" xfId="9" applyFont="1" applyBorder="1"/>
    <xf numFmtId="43" fontId="30" fillId="0" borderId="1" xfId="9" applyNumberFormat="1" applyFont="1" applyBorder="1"/>
    <xf numFmtId="43" fontId="30" fillId="8" borderId="1" xfId="9" applyNumberFormat="1" applyFont="1" applyFill="1" applyBorder="1"/>
    <xf numFmtId="0" fontId="6" fillId="0" borderId="6" xfId="8" applyFont="1" applyBorder="1" applyAlignment="1">
      <alignment horizontal="left"/>
    </xf>
    <xf numFmtId="0" fontId="1" fillId="0" borderId="0" xfId="8"/>
    <xf numFmtId="0" fontId="9" fillId="0" borderId="6" xfId="8" applyFont="1" applyBorder="1" applyAlignment="1">
      <alignment horizontal="center"/>
    </xf>
    <xf numFmtId="43" fontId="6" fillId="0" borderId="9" xfId="8" applyNumberFormat="1" applyFont="1" applyBorder="1" applyAlignment="1">
      <alignment horizontal="center"/>
    </xf>
    <xf numFmtId="0" fontId="6" fillId="0" borderId="8" xfId="8" applyFont="1" applyBorder="1" applyAlignment="1">
      <alignment horizontal="center"/>
    </xf>
    <xf numFmtId="43" fontId="6" fillId="0" borderId="9" xfId="8" applyNumberFormat="1" applyFont="1" applyBorder="1" applyAlignment="1">
      <alignment horizontal="center" wrapText="1"/>
    </xf>
    <xf numFmtId="43" fontId="6" fillId="0" borderId="8" xfId="8" applyNumberFormat="1" applyFont="1" applyBorder="1" applyAlignment="1">
      <alignment horizontal="center" wrapText="1"/>
    </xf>
    <xf numFmtId="43" fontId="6" fillId="0" borderId="8" xfId="8" applyNumberFormat="1" applyFont="1" applyBorder="1" applyAlignment="1">
      <alignment horizontal="center"/>
    </xf>
    <xf numFmtId="0" fontId="8" fillId="0" borderId="11" xfId="8" applyFont="1" applyBorder="1" applyAlignment="1">
      <alignment horizontal="left" vertical="center"/>
    </xf>
    <xf numFmtId="0" fontId="7" fillId="0" borderId="10" xfId="8" applyFont="1" applyBorder="1"/>
    <xf numFmtId="0" fontId="7" fillId="0" borderId="5" xfId="8" applyFont="1" applyBorder="1"/>
    <xf numFmtId="0" fontId="8" fillId="0" borderId="16" xfId="8" applyFont="1" applyBorder="1" applyAlignment="1">
      <alignment horizontal="left" vertical="center"/>
    </xf>
    <xf numFmtId="0" fontId="7" fillId="0" borderId="15" xfId="8" applyFont="1" applyBorder="1"/>
    <xf numFmtId="0" fontId="8" fillId="0" borderId="13" xfId="8" applyFont="1" applyBorder="1" applyAlignment="1">
      <alignment horizontal="left" vertical="center"/>
    </xf>
    <xf numFmtId="0" fontId="7" fillId="0" borderId="8" xfId="8" applyFont="1" applyBorder="1"/>
    <xf numFmtId="43" fontId="11" fillId="0" borderId="9" xfId="8" applyNumberFormat="1" applyFont="1" applyBorder="1" applyAlignment="1">
      <alignment horizontal="left"/>
    </xf>
    <xf numFmtId="43" fontId="11" fillId="0" borderId="8" xfId="8" applyNumberFormat="1" applyFont="1" applyBorder="1" applyAlignment="1">
      <alignment horizontal="left"/>
    </xf>
    <xf numFmtId="0" fontId="21" fillId="2" borderId="0" xfId="8" applyFont="1" applyFill="1" applyAlignment="1">
      <alignment horizontal="left"/>
    </xf>
    <xf numFmtId="0" fontId="22" fillId="5" borderId="0" xfId="8" applyFont="1" applyFill="1" applyAlignment="1">
      <alignment horizontal="left"/>
    </xf>
    <xf numFmtId="0" fontId="15" fillId="0" borderId="39" xfId="8" applyFont="1" applyBorder="1" applyAlignment="1">
      <alignment horizontal="center"/>
    </xf>
    <xf numFmtId="0" fontId="7" fillId="0" borderId="38" xfId="8" applyFont="1" applyBorder="1"/>
    <xf numFmtId="0" fontId="7" fillId="0" borderId="6" xfId="8" applyFont="1" applyBorder="1"/>
    <xf numFmtId="0" fontId="7" fillId="0" borderId="32" xfId="8" applyFont="1" applyBorder="1"/>
    <xf numFmtId="0" fontId="7" fillId="0" borderId="11" xfId="8" applyFont="1" applyBorder="1"/>
    <xf numFmtId="0" fontId="7" fillId="0" borderId="28" xfId="8" applyFont="1" applyBorder="1"/>
    <xf numFmtId="0" fontId="17" fillId="0" borderId="37" xfId="8" applyFont="1" applyBorder="1" applyAlignment="1">
      <alignment horizontal="left"/>
    </xf>
    <xf numFmtId="0" fontId="7" fillId="0" borderId="36" xfId="8" applyFont="1" applyBorder="1"/>
    <xf numFmtId="0" fontId="18" fillId="0" borderId="35" xfId="8" applyFont="1" applyBorder="1" applyAlignment="1">
      <alignment horizontal="center"/>
    </xf>
    <xf numFmtId="0" fontId="7" fillId="0" borderId="26" xfId="8" applyFont="1" applyBorder="1"/>
    <xf numFmtId="0" fontId="8" fillId="0" borderId="34" xfId="8" applyFont="1" applyBorder="1" applyAlignment="1">
      <alignment horizontal="center" vertical="center" wrapText="1"/>
    </xf>
    <xf numFmtId="0" fontId="7" fillId="0" borderId="29" xfId="8" applyFont="1" applyBorder="1"/>
    <xf numFmtId="0" fontId="7" fillId="0" borderId="25" xfId="8" applyFont="1" applyBorder="1"/>
    <xf numFmtId="0" fontId="14" fillId="0" borderId="33" xfId="8" applyFont="1" applyBorder="1" applyAlignment="1">
      <alignment horizontal="center" vertical="center"/>
    </xf>
    <xf numFmtId="0" fontId="17" fillId="0" borderId="31" xfId="8" applyFont="1" applyBorder="1" applyAlignment="1">
      <alignment horizontal="left"/>
    </xf>
    <xf numFmtId="0" fontId="16" fillId="0" borderId="30" xfId="8" quotePrefix="1" applyFont="1" applyBorder="1" applyAlignment="1">
      <alignment horizontal="center" vertical="top"/>
    </xf>
    <xf numFmtId="0" fontId="14" fillId="0" borderId="27" xfId="8" applyFont="1" applyBorder="1" applyAlignment="1">
      <alignment horizontal="center" vertical="center"/>
    </xf>
  </cellXfs>
  <cellStyles count="10">
    <cellStyle name="Comma" xfId="1" builtinId="3"/>
    <cellStyle name="Comma 2" xfId="3" xr:uid="{848775DE-34B1-4B2C-9336-E166A967A2A9}"/>
    <cellStyle name="Comma 2 2" xfId="5" xr:uid="{3A71965C-3508-4A6F-ADAD-96DF9F6432FB}"/>
    <cellStyle name="Currency 2" xfId="6" xr:uid="{024E2C54-69BC-4AE2-A5EF-B22D2DA5FB16}"/>
    <cellStyle name="Hyperlink" xfId="9" builtinId="8"/>
    <cellStyle name="Normal" xfId="0" builtinId="0"/>
    <cellStyle name="Normal 2" xfId="7" xr:uid="{4561489C-0F3D-4B9B-B61B-EE9DE5FF4A23}"/>
    <cellStyle name="Normal 2 2" xfId="4" xr:uid="{D73DFEF3-2A8B-466C-BAF8-2E0C4E64DA53}"/>
    <cellStyle name="Normal 2 3" xfId="8" xr:uid="{9E87B59F-6BBE-408F-8E6A-2D61149F04EE}"/>
    <cellStyle name="Normal 3" xfId="2" xr:uid="{C2830AE9-68B8-4A19-9788-D8757F9E054E}"/>
  </cellStyles>
  <dxfs count="114"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rgb="FF000000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3</xdr:row>
      <xdr:rowOff>66675</xdr:rowOff>
    </xdr:from>
    <xdr:ext cx="866775" cy="828675"/>
    <xdr:pic>
      <xdr:nvPicPr>
        <xdr:cNvPr id="2" name="image2.png">
          <a:extLst>
            <a:ext uri="{FF2B5EF4-FFF2-40B4-BE49-F238E27FC236}">
              <a16:creationId xmlns:a16="http://schemas.microsoft.com/office/drawing/2014/main" id="{04ECFDCE-B6A6-480B-8581-C0973E3D915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575" y="638175"/>
          <a:ext cx="866775" cy="8286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0</xdr:colOff>
      <xdr:row>3</xdr:row>
      <xdr:rowOff>0</xdr:rowOff>
    </xdr:from>
    <xdr:to>
      <xdr:col>7</xdr:col>
      <xdr:colOff>19921</xdr:colOff>
      <xdr:row>7</xdr:row>
      <xdr:rowOff>38236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002B2D1-1170-CE4C-FBC5-33BF4BA0B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66750"/>
          <a:ext cx="6239746" cy="9716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230B72-2D6E-4F36-8C86-6ED242FA5846}" name="Table1" displayName="Table1" ref="A2:D4" totalsRowShown="0" headerRowDxfId="113" headerRowBorderDxfId="112" tableBorderDxfId="111" headerRowCellStyle="Comma">
  <autoFilter ref="A2:D4" xr:uid="{FB4E1EE6-F6EF-45FC-9A77-D15C1C22CDE9}"/>
  <tableColumns count="4">
    <tableColumn id="1" xr3:uid="{A811B53B-EDC5-4BEE-97A9-DC76C9FEF26D}" name="Date"/>
    <tableColumn id="2" xr3:uid="{5E7FDDBC-B0CC-4C1A-A9BF-76054DBEFECA}" name="Particulars"/>
    <tableColumn id="3" xr3:uid="{0F07E18B-5571-4403-B8A5-4C8DC21DE368}" name="Obligated Amount"/>
    <tableColumn id="4" xr3:uid="{26C9B43C-A9E3-40AA-89DA-4E7063065728}" name="Remaining Bala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C7A118-0071-42B7-A3DA-9E09A287DEB0}" name="Table13" displayName="Table13" ref="A2:D4" totalsRowShown="0" headerRowDxfId="110" headerRowBorderDxfId="109" tableBorderDxfId="108" headerRowCellStyle="Comma">
  <autoFilter ref="A2:D4" xr:uid="{FB4E1EE6-F6EF-45FC-9A77-D15C1C22CDE9}"/>
  <tableColumns count="4">
    <tableColumn id="1" xr3:uid="{5C03042A-71BC-4F20-AC3E-0BCF8F81669B}" name="Date"/>
    <tableColumn id="2" xr3:uid="{939BEF9A-BCFA-4F8E-B785-E8A2F9B56700}" name="Particulars"/>
    <tableColumn id="3" xr3:uid="{29BADA1F-B05D-4C4C-A878-50D212647BC7}" name="Obligated Amount"/>
    <tableColumn id="4" xr3:uid="{DC860BC8-9F28-4BF8-8C40-37E756048388}" name="Remaining Bala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111FEE-AA50-4B55-8D49-9485704C5784}" name="Table134" displayName="Table134" ref="A2:D4" totalsRowShown="0" headerRowDxfId="107" headerRowBorderDxfId="106" tableBorderDxfId="105" headerRowCellStyle="Comma">
  <autoFilter ref="A2:D4" xr:uid="{FB4E1EE6-F6EF-45FC-9A77-D15C1C22CDE9}"/>
  <tableColumns count="4">
    <tableColumn id="1" xr3:uid="{C104C099-356D-4749-B4CF-8AD52B14C6B3}" name="Date"/>
    <tableColumn id="2" xr3:uid="{085477FF-9704-4C41-8B4F-1B90737CF733}" name="Particulars"/>
    <tableColumn id="3" xr3:uid="{F590E72D-2D56-49A8-936B-AD5A4F2DBC7C}" name="Obligated Amount"/>
    <tableColumn id="4" xr3:uid="{C4F544FE-3115-4734-80BE-075BF2188EDB}" name="Remaining Bala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288C1E-D554-4F67-8C06-D44ABBE7FE24}" name="Table1345" displayName="Table1345" ref="A2:D4" totalsRowShown="0" headerRowDxfId="104" headerRowBorderDxfId="103" tableBorderDxfId="102" headerRowCellStyle="Comma">
  <autoFilter ref="A2:D4" xr:uid="{FB4E1EE6-F6EF-45FC-9A77-D15C1C22CDE9}"/>
  <tableColumns count="4">
    <tableColumn id="1" xr3:uid="{636E910C-748B-4AE6-AD0D-0CE1D568C96D}" name="Date"/>
    <tableColumn id="2" xr3:uid="{7EE6A42D-98AF-4420-8033-0DBFBBD8539A}" name="Particulars"/>
    <tableColumn id="3" xr3:uid="{DAE20B48-2211-4591-BE4E-9ED22E5D113B}" name="Obligated Amount"/>
    <tableColumn id="4" xr3:uid="{D7D2F85D-33CE-4036-9FFD-CBF974DDFC61}" name="Remaining Bala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630261-0E43-4380-8B05-2BCB8C2697DB}" name="Table13456" displayName="Table13456" ref="A2:D4" totalsRowShown="0" headerRowDxfId="101" headerRowBorderDxfId="100" tableBorderDxfId="99" headerRowCellStyle="Comma">
  <autoFilter ref="A2:D4" xr:uid="{FB4E1EE6-F6EF-45FC-9A77-D15C1C22CDE9}"/>
  <tableColumns count="4">
    <tableColumn id="1" xr3:uid="{22F849C0-5F42-4196-AA72-5E90F64BC56C}" name="Date"/>
    <tableColumn id="2" xr3:uid="{AD91169F-1E24-4728-A3AE-71F77EB67083}" name="Particulars"/>
    <tableColumn id="3" xr3:uid="{81194C1D-3865-4418-BC8A-DE3118B81245}" name="Obligated Amount"/>
    <tableColumn id="4" xr3:uid="{1B409721-33EB-4D7A-9A1D-FC073D733FF9}" name="Remaining Bala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8FDC8A-6237-4F04-80C2-EF670C6A226D}" name="Table134567" displayName="Table134567" ref="A2:D4" totalsRowShown="0" headerRowDxfId="98" headerRowBorderDxfId="97" tableBorderDxfId="96" headerRowCellStyle="Comma">
  <autoFilter ref="A2:D4" xr:uid="{FB4E1EE6-F6EF-45FC-9A77-D15C1C22CDE9}"/>
  <tableColumns count="4">
    <tableColumn id="1" xr3:uid="{ACB7F0F1-CE93-4BF8-A86E-6C6295F82B7B}" name="Date"/>
    <tableColumn id="2" xr3:uid="{508B32E2-EC6E-42D2-B44B-68AAABA90410}" name="Particulars"/>
    <tableColumn id="3" xr3:uid="{B4456149-FE2A-4FCF-8976-3120F53FAC09}" name="Obligated Amount"/>
    <tableColumn id="4" xr3:uid="{8492090A-8B81-47C6-A3C2-BA4860B1C092}" name="Remaining Balan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6152AEC-6FB6-40B6-A94B-696259B400EC}" name="Table1345678" displayName="Table1345678" ref="A2:D4" totalsRowShown="0" headerRowDxfId="95" headerRowBorderDxfId="94" tableBorderDxfId="93" headerRowCellStyle="Comma">
  <autoFilter ref="A2:D4" xr:uid="{FB4E1EE6-F6EF-45FC-9A77-D15C1C22CDE9}"/>
  <tableColumns count="4">
    <tableColumn id="1" xr3:uid="{CD6D4197-6B64-48D0-92AF-339AC3B3B80D}" name="Date"/>
    <tableColumn id="2" xr3:uid="{0B411C06-1F40-4FCC-AAA8-EA000F7CEF45}" name="Particulars"/>
    <tableColumn id="3" xr3:uid="{FC092928-6A49-435F-AC3D-FF8969D4CA22}" name="Obligated Amount"/>
    <tableColumn id="4" xr3:uid="{F8D0C293-8F13-484F-A2DE-02AD1188EFAB}" name="Remaining Bala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AFC255-A029-47EA-B724-12F2F90470BF}" name="Table13456789" displayName="Table13456789" ref="A2:D4" totalsRowShown="0" headerRowDxfId="92" headerRowBorderDxfId="91" tableBorderDxfId="90" headerRowCellStyle="Comma">
  <autoFilter ref="A2:D4" xr:uid="{FB4E1EE6-F6EF-45FC-9A77-D15C1C22CDE9}"/>
  <tableColumns count="4">
    <tableColumn id="1" xr3:uid="{B9BDB39E-EA97-4F37-9AFE-A56DF0EBC35B}" name="Date"/>
    <tableColumn id="2" xr3:uid="{C8D27632-E6A2-44CB-B261-F85387273423}" name="Particulars"/>
    <tableColumn id="3" xr3:uid="{16B1532F-69FE-466F-9926-35D35C6127D1}" name="Obligated Amount"/>
    <tableColumn id="4" xr3:uid="{BE1AF13C-64A9-421A-8F64-30FA52E369E7}" name="Remaining Bala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6131E3-DAB4-48C5-94DA-474F2CB9B704}" name="Table1345678910" displayName="Table1345678910" ref="A2:D4" totalsRowShown="0" headerRowDxfId="89" headerRowBorderDxfId="88" tableBorderDxfId="87" headerRowCellStyle="Comma">
  <autoFilter ref="A2:D4" xr:uid="{FB4E1EE6-F6EF-45FC-9A77-D15C1C22CDE9}"/>
  <tableColumns count="4">
    <tableColumn id="1" xr3:uid="{B648ABBA-4483-47DF-AEE6-D69C9869E5C6}" name="Date"/>
    <tableColumn id="2" xr3:uid="{B37BAA47-8EA4-424A-9433-C6DAA32E64DC}" name="Particulars"/>
    <tableColumn id="3" xr3:uid="{52FF086E-41B2-4FE4-84E9-D5817F21C0FC}" name="Obligated Amount"/>
    <tableColumn id="4" xr3:uid="{5157EACE-84A9-49F6-881B-C42D76383C86}" name="Remaining Bal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8F0343F-6DA4-4AC0-8156-0D76EE0F4206}" name="Table134567891011" displayName="Table134567891011" ref="A2:D4" totalsRowShown="0" headerRowDxfId="86" headerRowBorderDxfId="85" tableBorderDxfId="84" headerRowCellStyle="Comma">
  <autoFilter ref="A2:D4" xr:uid="{FB4E1EE6-F6EF-45FC-9A77-D15C1C22CDE9}"/>
  <tableColumns count="4">
    <tableColumn id="1" xr3:uid="{52FF2CB2-50EC-43F8-A0BF-F2FC27A16217}" name="Date"/>
    <tableColumn id="2" xr3:uid="{65BFAF18-B036-419C-86A1-B44F0326DC15}" name="Particulars"/>
    <tableColumn id="3" xr3:uid="{8ED2B309-18B6-4061-984A-C5839B2F868E}" name="Obligated Amount"/>
    <tableColumn id="4" xr3:uid="{18B06228-3E1A-4459-A8E9-D1452F6CD2B6}" name="Remaining Bala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E2C5CA1-3BD5-4038-81F7-5FB467A2C7BD}" name="Table13456789101112" displayName="Table13456789101112" ref="A2:D4" totalsRowShown="0" headerRowDxfId="83" headerRowBorderDxfId="82" tableBorderDxfId="81" headerRowCellStyle="Comma">
  <autoFilter ref="A2:D4" xr:uid="{FB4E1EE6-F6EF-45FC-9A77-D15C1C22CDE9}"/>
  <tableColumns count="4">
    <tableColumn id="1" xr3:uid="{7AAD69AA-46EF-4A06-8F5A-0ED5F7D49658}" name="Date"/>
    <tableColumn id="2" xr3:uid="{944E27E7-57B1-4452-9939-531BE8DAA7BD}" name="Particulars"/>
    <tableColumn id="3" xr3:uid="{1A71A4A4-C571-4391-8331-9BB5BA164FAA}" name="Obligated Amount"/>
    <tableColumn id="4" xr3:uid="{6D7C540D-FDD4-4228-AF05-F95FE30A4599}" name="Remaining Balanc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8786B7-D6A8-46D4-9932-9B369A2B1102}" name="Table1345678910111213" displayName="Table1345678910111213" ref="A2:D4" totalsRowShown="0" headerRowDxfId="80" headerRowBorderDxfId="79" tableBorderDxfId="78" headerRowCellStyle="Comma">
  <autoFilter ref="A2:D4" xr:uid="{FB4E1EE6-F6EF-45FC-9A77-D15C1C22CDE9}"/>
  <tableColumns count="4">
    <tableColumn id="1" xr3:uid="{E4E0B9EE-23C7-4FEF-B5B4-82340950B03A}" name="Date"/>
    <tableColumn id="2" xr3:uid="{0B210765-396F-4751-A2B2-6693CB4D483D}" name="Particulars"/>
    <tableColumn id="3" xr3:uid="{E989A77E-7D82-4B0E-B5B8-E7311FE25A3C}" name="Obligated Amount"/>
    <tableColumn id="4" xr3:uid="{99A451A5-588E-4BCD-BF89-CA76DBC9FB5F}" name="Remaining Balanc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4A9DC8B-6982-440A-8590-E049A2C4AD56}" name="Table134567891011121314" displayName="Table134567891011121314" ref="A2:D4" totalsRowShown="0" headerRowDxfId="77" headerRowBorderDxfId="76" tableBorderDxfId="75" headerRowCellStyle="Comma">
  <autoFilter ref="A2:D4" xr:uid="{FB4E1EE6-F6EF-45FC-9A77-D15C1C22CDE9}"/>
  <tableColumns count="4">
    <tableColumn id="1" xr3:uid="{7D7492AE-55E7-4CC9-A5AC-F4B7EBD511E3}" name="Date"/>
    <tableColumn id="2" xr3:uid="{7132D350-09AA-4EA4-94BE-03A6ED29A874}" name="Particulars"/>
    <tableColumn id="3" xr3:uid="{3AC4F8BC-B78A-44AA-B43A-D93AC1A79B37}" name="Obligated Amount"/>
    <tableColumn id="4" xr3:uid="{271A2057-6DAA-41E0-9A38-789A0EFDF804}" name="Remaining Balanc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FF724C-312B-4A8C-AAFB-DDA3FD25E8E7}" name="Table13456789101112131415" displayName="Table13456789101112131415" ref="A2:D4" totalsRowShown="0" headerRowDxfId="74" headerRowBorderDxfId="73" tableBorderDxfId="72" headerRowCellStyle="Comma">
  <autoFilter ref="A2:D4" xr:uid="{FB4E1EE6-F6EF-45FC-9A77-D15C1C22CDE9}"/>
  <tableColumns count="4">
    <tableColumn id="1" xr3:uid="{6E6860CC-F4D6-4352-B3B9-BA74B3A0C9AB}" name="Date"/>
    <tableColumn id="2" xr3:uid="{18BD8181-7C7E-45D2-81A3-28D8318CBFA7}" name="Particulars"/>
    <tableColumn id="3" xr3:uid="{00EBC836-D2D2-46B1-ACE6-CB2B52E0C794}" name="Obligated Amount"/>
    <tableColumn id="4" xr3:uid="{C1F8727F-0293-448D-840D-430E39D9A3C4}" name="Remaining Balanc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61E7F94-6B31-4437-BB99-F6B80CC16534}" name="Table1345678910111213141516" displayName="Table1345678910111213141516" ref="A2:D4" totalsRowShown="0" headerRowDxfId="71" headerRowBorderDxfId="70" tableBorderDxfId="69" headerRowCellStyle="Comma">
  <autoFilter ref="A2:D4" xr:uid="{FB4E1EE6-F6EF-45FC-9A77-D15C1C22CDE9}"/>
  <tableColumns count="4">
    <tableColumn id="1" xr3:uid="{3467B4F9-2365-455B-9CAB-F234DA2D601D}" name="Date"/>
    <tableColumn id="2" xr3:uid="{279ECB13-C4A3-4778-A1C4-F6475DDFBE36}" name="Particulars"/>
    <tableColumn id="3" xr3:uid="{F89A1F62-71DD-4B7E-A218-DEA59E7D9BB9}" name="Obligated Amount"/>
    <tableColumn id="4" xr3:uid="{1451C91E-D184-45F3-BD69-217B9E552E72}" name="Remaining Balanc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6063338-594B-46D7-8469-2B648A964434}" name="Table134567891011121314151617" displayName="Table134567891011121314151617" ref="A2:D4" totalsRowShown="0" headerRowDxfId="68" headerRowBorderDxfId="67" tableBorderDxfId="66" headerRowCellStyle="Comma">
  <autoFilter ref="A2:D4" xr:uid="{FB4E1EE6-F6EF-45FC-9A77-D15C1C22CDE9}"/>
  <tableColumns count="4">
    <tableColumn id="1" xr3:uid="{A71E183F-3C55-4E89-BC8A-EB5CBAE344E6}" name="Date"/>
    <tableColumn id="2" xr3:uid="{33FE5E3C-0167-4156-B660-3D0C9C6834D8}" name="Particulars"/>
    <tableColumn id="3" xr3:uid="{A8863F16-DA74-4E4C-B732-6A84CE638C31}" name="Obligated Amount"/>
    <tableColumn id="4" xr3:uid="{58E4006B-8F70-411B-819A-94692A9101D6}" name="Remaining Balanc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689AA67-1637-4C39-AB3B-2F07EF70FD2C}" name="Table13456789101112131415161718" displayName="Table13456789101112131415161718" ref="A2:D4" totalsRowShown="0" headerRowDxfId="65" headerRowBorderDxfId="64" tableBorderDxfId="63" headerRowCellStyle="Comma">
  <autoFilter ref="A2:D4" xr:uid="{FB4E1EE6-F6EF-45FC-9A77-D15C1C22CDE9}"/>
  <tableColumns count="4">
    <tableColumn id="1" xr3:uid="{3F9ACF80-EE50-4C05-9F47-C371D2D7264E}" name="Date"/>
    <tableColumn id="2" xr3:uid="{01F41C41-B64A-407F-A7D0-DAF57EA60FF4}" name="Particulars"/>
    <tableColumn id="3" xr3:uid="{C499F1FA-1985-44E5-A0B3-C0C14222DBEB}" name="Obligated Amount"/>
    <tableColumn id="4" xr3:uid="{C1202747-F84E-4E69-9D7F-2E1B78392EB5}" name="Remaining Balanc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01482D2-30A6-4400-B14A-F91AB1272B2A}" name="Table1345678910111213141516171819" displayName="Table1345678910111213141516171819" ref="A2:D4" totalsRowShown="0" headerRowDxfId="62" headerRowBorderDxfId="61" tableBorderDxfId="60" headerRowCellStyle="Comma">
  <autoFilter ref="A2:D4" xr:uid="{FB4E1EE6-F6EF-45FC-9A77-D15C1C22CDE9}"/>
  <tableColumns count="4">
    <tableColumn id="1" xr3:uid="{057D06E2-152B-4EED-B6D4-95DEFC92B8F8}" name="Date"/>
    <tableColumn id="2" xr3:uid="{8D95FB7E-C6F5-443E-915D-E924DCECCDD9}" name="Particulars"/>
    <tableColumn id="3" xr3:uid="{60525C93-7353-4EA6-9968-5B26C1F8A82A}" name="Obligated Amount"/>
    <tableColumn id="4" xr3:uid="{9C32B2B5-448A-40D5-9180-A3858A3C3FA6}" name="Remaining Balanc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9B84F9F-E23E-4C89-AEF2-5B0221CE9703}" name="Table134567891011121314151617181920" displayName="Table134567891011121314151617181920" ref="A2:D4" totalsRowShown="0" headerRowDxfId="59" headerRowBorderDxfId="58" tableBorderDxfId="57" headerRowCellStyle="Comma">
  <autoFilter ref="A2:D4" xr:uid="{FB4E1EE6-F6EF-45FC-9A77-D15C1C22CDE9}"/>
  <tableColumns count="4">
    <tableColumn id="1" xr3:uid="{00B9A2E7-50B0-483D-881D-3F11C51857E9}" name="Date"/>
    <tableColumn id="2" xr3:uid="{0721DD16-D803-47A8-A340-A1ADE1B170DD}" name="Particulars"/>
    <tableColumn id="3" xr3:uid="{27E8CF7A-B6D9-4AE0-820E-C5F03C9BC3AA}" name="Obligated Amount"/>
    <tableColumn id="4" xr3:uid="{1FBA2D11-5D70-42FD-8541-EFEF1770BD9E}" name="Remaining Balanc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86C4A2F-E62C-497B-A957-FC2178F5D9A8}" name="Table13456789101112131415161718192021" displayName="Table13456789101112131415161718192021" ref="A2:D4" totalsRowShown="0" headerRowDxfId="56" headerRowBorderDxfId="55" tableBorderDxfId="54" headerRowCellStyle="Comma">
  <autoFilter ref="A2:D4" xr:uid="{FB4E1EE6-F6EF-45FC-9A77-D15C1C22CDE9}"/>
  <tableColumns count="4">
    <tableColumn id="1" xr3:uid="{76211CA7-B996-4ACA-B605-F8546F4AFB27}" name="Date"/>
    <tableColumn id="2" xr3:uid="{1501B4DE-47FA-4D20-AA8D-CD556A09C4F0}" name="Particulars"/>
    <tableColumn id="3" xr3:uid="{A8DF8193-981B-4CBC-B15A-7F6ACEE4418D}" name="Obligated Amount"/>
    <tableColumn id="4" xr3:uid="{32C2BF56-CE36-4383-9BC5-66E93AFC3B37}" name="Remaining Balanc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B406235-FCBC-45F4-8C6D-BB2B00DD4200}" name="Table1345678910111213141516171819202122" displayName="Table1345678910111213141516171819202122" ref="A2:D4" totalsRowShown="0" headerRowDxfId="53" headerRowBorderDxfId="52" tableBorderDxfId="51" headerRowCellStyle="Comma">
  <autoFilter ref="A2:D4" xr:uid="{FB4E1EE6-F6EF-45FC-9A77-D15C1C22CDE9}"/>
  <tableColumns count="4">
    <tableColumn id="1" xr3:uid="{186D8578-CF6F-4E54-A118-2A02F23FB905}" name="Date"/>
    <tableColumn id="2" xr3:uid="{6B1E8BAF-37F9-4178-8B30-DB9883AD3BE3}" name="Particulars"/>
    <tableColumn id="3" xr3:uid="{EAC172BE-7194-4403-88A5-0678CE0A60F9}" name="Obligated Amount"/>
    <tableColumn id="4" xr3:uid="{29F2D7CC-E695-4006-9F2B-234E3305A2BC}" name="Remaining Balanc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4DC3A09-974B-4005-B1EC-BD69B195BEC0}" name="Table134567891011121314151617181920212223" displayName="Table134567891011121314151617181920212223" ref="A2:D4" totalsRowShown="0" headerRowDxfId="50" headerRowBorderDxfId="49" tableBorderDxfId="48" headerRowCellStyle="Comma">
  <autoFilter ref="A2:D4" xr:uid="{FB4E1EE6-F6EF-45FC-9A77-D15C1C22CDE9}"/>
  <tableColumns count="4">
    <tableColumn id="1" xr3:uid="{CFAE5138-39F4-4639-8AA0-303B9884C140}" name="Date"/>
    <tableColumn id="2" xr3:uid="{815D7B18-FA25-4ADD-A602-CC84B57B85A9}" name="Particulars"/>
    <tableColumn id="3" xr3:uid="{4097D91E-F0E9-4207-999E-168C216854CF}" name="Obligated Amount"/>
    <tableColumn id="4" xr3:uid="{0C3FD02C-1DAC-4C0F-834C-3278FD98A219}" name="Remaining Balanc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2A17ED3-447B-433D-A842-C1EE35BA9118}" name="Table13456789101112131415161718192021222324" displayName="Table13456789101112131415161718192021222324" ref="A2:D4" totalsRowShown="0" headerRowDxfId="47" headerRowBorderDxfId="46" tableBorderDxfId="45" headerRowCellStyle="Comma">
  <autoFilter ref="A2:D4" xr:uid="{FB4E1EE6-F6EF-45FC-9A77-D15C1C22CDE9}"/>
  <tableColumns count="4">
    <tableColumn id="1" xr3:uid="{328BBC41-62FD-4AE7-A7AE-2C5133ADFCA5}" name="Date"/>
    <tableColumn id="2" xr3:uid="{2B374F3A-255C-482F-8202-B5D0F925A23B}" name="Particulars"/>
    <tableColumn id="3" xr3:uid="{0723F294-2A1F-46AF-8E87-2FF78F5D5DCC}" name="Obligated Amount"/>
    <tableColumn id="4" xr3:uid="{EA2D3BB0-45C4-4147-B2C5-B26D0F1CFCDB}" name="Remaining Balanc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FAE0065-1647-47AA-B520-A9D86EB7EE37}" name="Table1345678910111213141516171819202122232425" displayName="Table1345678910111213141516171819202122232425" ref="A2:D4" totalsRowShown="0" headerRowDxfId="44" headerRowBorderDxfId="43" tableBorderDxfId="42" headerRowCellStyle="Comma">
  <autoFilter ref="A2:D4" xr:uid="{FB4E1EE6-F6EF-45FC-9A77-D15C1C22CDE9}"/>
  <tableColumns count="4">
    <tableColumn id="1" xr3:uid="{46EB45B0-AD95-4D3E-BEBC-41614A106189}" name="Date"/>
    <tableColumn id="2" xr3:uid="{9372470A-5537-46D6-B278-4A084918FD34}" name="Particulars"/>
    <tableColumn id="3" xr3:uid="{229C1436-1A71-46A6-94BB-30CD6D64AB19}" name="Obligated Amount"/>
    <tableColumn id="4" xr3:uid="{DF86DD4E-0CFB-4E92-A15F-655D27D15BE7}" name="Remaining Balanc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5305814-12D5-4842-977E-31BBAC43AEEA}" name="Table134567891011121314151617181920212223242526" displayName="Table134567891011121314151617181920212223242526" ref="A2:D4" totalsRowShown="0" headerRowDxfId="41" headerRowBorderDxfId="40" tableBorderDxfId="39" headerRowCellStyle="Comma">
  <autoFilter ref="A2:D4" xr:uid="{FB4E1EE6-F6EF-45FC-9A77-D15C1C22CDE9}"/>
  <tableColumns count="4">
    <tableColumn id="1" xr3:uid="{CBA1A274-2CF9-4846-8997-45883D96EB86}" name="Date"/>
    <tableColumn id="2" xr3:uid="{BC39EC36-30BA-4CD6-B347-14A315D91091}" name="Particulars"/>
    <tableColumn id="3" xr3:uid="{046695DF-7D78-4D72-9C62-01593E854BCC}" name="Obligated Amount"/>
    <tableColumn id="4" xr3:uid="{3FB6A1A5-620A-4397-9C2F-01E4E9DB9D61}" name="Remaining Balanc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EFE85B-FFE7-41E9-9D01-4190B126CED1}" name="Table13456789101112131415161718192021222324252627" displayName="Table13456789101112131415161718192021222324252627" ref="A2:D4" totalsRowShown="0" headerRowDxfId="38" headerRowBorderDxfId="37" tableBorderDxfId="36" headerRowCellStyle="Comma">
  <autoFilter ref="A2:D4" xr:uid="{FB4E1EE6-F6EF-45FC-9A77-D15C1C22CDE9}"/>
  <tableColumns count="4">
    <tableColumn id="1" xr3:uid="{5AB06FB1-ABCB-4D6B-8860-34EC7EC23B3D}" name="Date"/>
    <tableColumn id="2" xr3:uid="{095D9268-4E14-4211-9E9B-00668BB7D92C}" name="Particulars"/>
    <tableColumn id="3" xr3:uid="{19D82225-DA55-4D6B-8994-F3999F8A745F}" name="Obligated Amount"/>
    <tableColumn id="4" xr3:uid="{FBDCC062-90A3-4027-B253-E05D75CEF28E}" name="Remaining Balanc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1AF3373-5419-4476-B695-681D0B31C68C}" name="Table1345678910111213141516171819202122232425262728" displayName="Table1345678910111213141516171819202122232425262728" ref="A2:D4" totalsRowShown="0" headerRowDxfId="35" headerRowBorderDxfId="34" tableBorderDxfId="33" headerRowCellStyle="Comma">
  <autoFilter ref="A2:D4" xr:uid="{FB4E1EE6-F6EF-45FC-9A77-D15C1C22CDE9}"/>
  <tableColumns count="4">
    <tableColumn id="1" xr3:uid="{335877F1-9554-429A-B3C4-A16E9686B12F}" name="Date"/>
    <tableColumn id="2" xr3:uid="{5227AECD-3986-4506-8490-E44E66E3E3B5}" name="Particulars"/>
    <tableColumn id="3" xr3:uid="{F16F478F-B9D6-4C7C-AB2D-5F684CD408B8}" name="Obligated Amount"/>
    <tableColumn id="4" xr3:uid="{3D5821DD-354C-4D5A-B83C-AB529A61150C}" name="Remaining Balanc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EDC87C5-365D-4FFA-95F8-D5432A5B1777}" name="Table134567891011121314151617181920212223242526272829" displayName="Table134567891011121314151617181920212223242526272829" ref="A2:D4" totalsRowShown="0" headerRowDxfId="32" headerRowBorderDxfId="31" tableBorderDxfId="30" headerRowCellStyle="Comma">
  <autoFilter ref="A2:D4" xr:uid="{FB4E1EE6-F6EF-45FC-9A77-D15C1C22CDE9}"/>
  <tableColumns count="4">
    <tableColumn id="1" xr3:uid="{4CF1AEE4-3AC3-4FA7-9C3F-6EF70CAC5055}" name="Date"/>
    <tableColumn id="2" xr3:uid="{469EE16F-C48E-4F63-9E8D-C39CC25D78F2}" name="Particulars"/>
    <tableColumn id="3" xr3:uid="{14867EF6-EF99-4C03-A985-49470F0F6881}" name="Obligated Amount"/>
    <tableColumn id="4" xr3:uid="{E93FEE9C-8FBB-4923-BF16-5F689E2690D9}" name="Remaining Balanc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ADDA93E-8248-4A84-95C8-CCB2E5063FA2}" name="Table13456789101112131415161718192021222324252627282930" displayName="Table13456789101112131415161718192021222324252627282930" ref="A2:D4" totalsRowShown="0" headerRowDxfId="29" headerRowBorderDxfId="28" tableBorderDxfId="27" headerRowCellStyle="Comma">
  <autoFilter ref="A2:D4" xr:uid="{FB4E1EE6-F6EF-45FC-9A77-D15C1C22CDE9}"/>
  <tableColumns count="4">
    <tableColumn id="1" xr3:uid="{3109386B-DF44-4D76-825F-6311DBAD7603}" name="Date"/>
    <tableColumn id="2" xr3:uid="{01CCB4C7-8CC9-43C2-934E-11BCCE21F737}" name="Particulars"/>
    <tableColumn id="3" xr3:uid="{26AA0F00-40C7-487D-87CA-D50ADDBFFE85}" name="Obligated Amount"/>
    <tableColumn id="4" xr3:uid="{CADC57FF-8FF5-4756-AECF-C5B4F688B49E}" name="Remaining Balanc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EB55DEF-6788-433D-A0EA-61AF459F692B}" name="Table1345678910111213141516171819202122232425262728293031" displayName="Table1345678910111213141516171819202122232425262728293031" ref="A2:D4" totalsRowShown="0" headerRowDxfId="26" headerRowBorderDxfId="25" tableBorderDxfId="24" headerRowCellStyle="Comma">
  <autoFilter ref="A2:D4" xr:uid="{FB4E1EE6-F6EF-45FC-9A77-D15C1C22CDE9}"/>
  <tableColumns count="4">
    <tableColumn id="1" xr3:uid="{0606C0CF-ADE4-4950-94B4-993FED8E5666}" name="Date"/>
    <tableColumn id="2" xr3:uid="{EA33CAFE-E7B0-4D53-ACC8-699F73A46132}" name="Particulars"/>
    <tableColumn id="3" xr3:uid="{0A55C74D-9541-489C-8446-940AE68543C6}" name="Obligated Amount"/>
    <tableColumn id="4" xr3:uid="{A4B35B9C-4416-4130-9257-4972A1E62DD0}" name="Remaining Balanc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4C620F7-6CB1-4683-AC78-3279B128CBB0}" name="Table134567891011121314151617181920212223242526272829303132" displayName="Table134567891011121314151617181920212223242526272829303132" ref="A2:D4" totalsRowShown="0" headerRowDxfId="23" headerRowBorderDxfId="22" tableBorderDxfId="21" headerRowCellStyle="Comma">
  <autoFilter ref="A2:D4" xr:uid="{FB4E1EE6-F6EF-45FC-9A77-D15C1C22CDE9}"/>
  <tableColumns count="4">
    <tableColumn id="1" xr3:uid="{FE7D64DF-E736-4A0F-A1EA-41D03820B09B}" name="Date"/>
    <tableColumn id="2" xr3:uid="{F9DBB6B5-65A1-4955-B6D2-015F6871A607}" name="Particulars"/>
    <tableColumn id="3" xr3:uid="{20EEFDD5-2BF0-485C-9CCF-82D918D7A069}" name="Obligated Amount"/>
    <tableColumn id="4" xr3:uid="{391210EF-713B-4792-8EE9-FD9E594B3D3F}" name="Remaining Balanc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B598921-7ED4-42B4-9DF2-407C2B2768C5}" name="Table13456789101112131415161718192021222324252627282930313233" displayName="Table13456789101112131415161718192021222324252627282930313233" ref="A2:D4" totalsRowShown="0" headerRowDxfId="20" headerRowBorderDxfId="19" tableBorderDxfId="18" headerRowCellStyle="Comma">
  <autoFilter ref="A2:D4" xr:uid="{FB4E1EE6-F6EF-45FC-9A77-D15C1C22CDE9}"/>
  <tableColumns count="4">
    <tableColumn id="1" xr3:uid="{401422DD-AABE-4E85-9311-292C46E3D804}" name="Date"/>
    <tableColumn id="2" xr3:uid="{4044FE64-B5DF-4753-BA11-28DE2D2EEB00}" name="Particulars"/>
    <tableColumn id="3" xr3:uid="{872F41A0-7C95-4794-A969-644512594DE1}" name="Obligated Amount"/>
    <tableColumn id="4" xr3:uid="{7F0A37ED-CA9F-49E1-B914-F4259545D06F}" name="Remaining Balanc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6719617-4FB2-40BA-8E6B-5A78DD460FAC}" name="Table1345678910111213141516171819202122232425262728293031323334" displayName="Table1345678910111213141516171819202122232425262728293031323334" ref="A2:D4" totalsRowShown="0" headerRowDxfId="17" headerRowBorderDxfId="16" tableBorderDxfId="15" headerRowCellStyle="Comma">
  <autoFilter ref="A2:D4" xr:uid="{FB4E1EE6-F6EF-45FC-9A77-D15C1C22CDE9}"/>
  <tableColumns count="4">
    <tableColumn id="1" xr3:uid="{2A474652-A9EB-4214-9472-A7F672453368}" name="Date"/>
    <tableColumn id="2" xr3:uid="{9F6E228D-E518-4032-A59C-262AE6B2F79D}" name="Particulars"/>
    <tableColumn id="3" xr3:uid="{4B76F400-8170-4B99-8ED1-8C2112DA0D8F}" name="Obligated Amount"/>
    <tableColumn id="4" xr3:uid="{451CB01B-7426-49E6-9D66-D7FC6D63FC89}" name="Remaining Balanc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65B6446-25F2-4BBB-8AB1-9DB2C5DE8FF9}" name="Table134567891011121314151617181920212223242526272829303132333435" displayName="Table134567891011121314151617181920212223242526272829303132333435" ref="A2:D4" totalsRowShown="0" headerRowDxfId="14" headerRowBorderDxfId="13" tableBorderDxfId="12" headerRowCellStyle="Comma">
  <autoFilter ref="A2:D4" xr:uid="{FB4E1EE6-F6EF-45FC-9A77-D15C1C22CDE9}"/>
  <tableColumns count="4">
    <tableColumn id="1" xr3:uid="{E689B883-5157-4DA0-B9B0-556260C5547B}" name="Date"/>
    <tableColumn id="2" xr3:uid="{B3745729-7136-4F46-9395-D275084E9D86}" name="Particulars"/>
    <tableColumn id="3" xr3:uid="{CFCA72DA-9D9D-4FE8-B3D2-ED9A4DB222F4}" name="Obligated Amount"/>
    <tableColumn id="4" xr3:uid="{2CE66F11-A39C-4F35-B8A5-33725313444F}" name="Remaining Balanc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D5D6D37-2F1E-4278-8D0C-65A8C798F1C1}" name="Table13456789101112131415161718192021222324252627282930313233343536" displayName="Table13456789101112131415161718192021222324252627282930313233343536" ref="A2:D4" totalsRowShown="0" headerRowDxfId="11" headerRowBorderDxfId="10" tableBorderDxfId="9" headerRowCellStyle="Comma">
  <autoFilter ref="A2:D4" xr:uid="{FB4E1EE6-F6EF-45FC-9A77-D15C1C22CDE9}"/>
  <tableColumns count="4">
    <tableColumn id="1" xr3:uid="{41643E22-229A-4203-AE55-7833D6DED4BC}" name="Date"/>
    <tableColumn id="2" xr3:uid="{35169BD7-8573-41E2-BF70-2E67EB6ACDD8}" name="Particulars"/>
    <tableColumn id="3" xr3:uid="{3D60536F-1C11-4735-8617-35B76A3CD86A}" name="Obligated Amount"/>
    <tableColumn id="4" xr3:uid="{D796ECB6-0F93-4C24-931D-F416772919C8}" name="Remaining Balanc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82ECB23-ED82-46A0-913B-5F1EA12FA24A}" name="Table1345678910111213141516171819202122232425262728293031323334353637" displayName="Table1345678910111213141516171819202122232425262728293031323334353637" ref="A2:D4" totalsRowShown="0" headerRowDxfId="8" headerRowBorderDxfId="7" tableBorderDxfId="6" headerRowCellStyle="Comma">
  <autoFilter ref="A2:D4" xr:uid="{FB4E1EE6-F6EF-45FC-9A77-D15C1C22CDE9}"/>
  <tableColumns count="4">
    <tableColumn id="1" xr3:uid="{11B49425-EC65-45FB-8393-8B96262D01EB}" name="Date"/>
    <tableColumn id="2" xr3:uid="{393A5757-D81A-4BBC-941A-67150FA60DDE}" name="Particulars"/>
    <tableColumn id="3" xr3:uid="{E3375370-2220-4B6D-9FE5-56E27F14467E}" name="Obligated Amount"/>
    <tableColumn id="4" xr3:uid="{0F8AA145-DBCB-41C5-8B21-34B0D930EB08}" name="Remaining Balanc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6F24E2D-927C-4AF2-A607-1EFBD6F9F4F4}" name="Table134567891011121314151617181920212223242526272829303132333435363738" displayName="Table134567891011121314151617181920212223242526272829303132333435363738" ref="A2:D4" totalsRowShown="0" headerRowDxfId="5" headerRowBorderDxfId="4" tableBorderDxfId="3" headerRowCellStyle="Comma">
  <autoFilter ref="A2:D4" xr:uid="{FB4E1EE6-F6EF-45FC-9A77-D15C1C22CDE9}"/>
  <tableColumns count="4">
    <tableColumn id="1" xr3:uid="{66E42A75-6245-4A8C-9B6C-835258A6852C}" name="Date"/>
    <tableColumn id="2" xr3:uid="{7D48478F-D523-4821-8B38-D445F1898F42}" name="Particulars"/>
    <tableColumn id="3" xr3:uid="{141A1D3D-78D2-4AFD-9CC3-73FAC2486E7C}" name="Obligated Amount"/>
    <tableColumn id="4" xr3:uid="{BA02AE3A-002E-48DB-A02A-8F8818603850}" name="Remaining Balanc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B7B7E74-D882-40BB-8F4C-C334EF5D6D03}" name="Table13456789101112131415161718192021222324252627282930313233343536373839" displayName="Table13456789101112131415161718192021222324252627282930313233343536373839" ref="A2:D4" totalsRowShown="0" headerRowDxfId="2" headerRowBorderDxfId="1" tableBorderDxfId="0" headerRowCellStyle="Comma">
  <autoFilter ref="A2:D4" xr:uid="{FB4E1EE6-F6EF-45FC-9A77-D15C1C22CDE9}"/>
  <tableColumns count="4">
    <tableColumn id="1" xr3:uid="{37ECF5D9-8E61-4ACE-82D6-8DAEF687FC56}" name="Date"/>
    <tableColumn id="2" xr3:uid="{5EE8BA25-249F-4B2B-8138-01FA06C748F3}" name="Particulars"/>
    <tableColumn id="3" xr3:uid="{3C901DC1-B51B-4AF9-9855-4D909D5D688A}" name="Obligated Amount"/>
    <tableColumn id="4" xr3:uid="{6FEB0951-5501-4290-BD30-CFF2918031CF}" name="Remaining Bala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33A8-48BA-4DBA-BAE3-BF00875BC046}">
  <sheetPr codeName="Sheet4">
    <tabColor theme="9"/>
  </sheetPr>
  <dimension ref="A1:G976"/>
  <sheetViews>
    <sheetView tabSelected="1" workbookViewId="0">
      <selection activeCell="O9" sqref="O9"/>
    </sheetView>
  </sheetViews>
  <sheetFormatPr defaultColWidth="14.42578125" defaultRowHeight="15" customHeight="1" x14ac:dyDescent="0.25"/>
  <cols>
    <col min="1" max="2" width="7.42578125" style="6" customWidth="1"/>
    <col min="3" max="3" width="24" style="6" customWidth="1"/>
    <col min="4" max="4" width="10" style="6" customWidth="1"/>
    <col min="5" max="5" width="10.140625" style="6" customWidth="1"/>
    <col min="6" max="6" width="21.5703125" style="6" customWidth="1"/>
    <col min="7" max="7" width="12.7109375" style="6" customWidth="1"/>
    <col min="8" max="26" width="8.85546875" style="6" customWidth="1"/>
    <col min="27" max="16384" width="14.42578125" style="6"/>
  </cols>
  <sheetData>
    <row r="1" spans="1:7" s="38" customFormat="1" ht="21" x14ac:dyDescent="0.35">
      <c r="A1" s="84" t="s">
        <v>95</v>
      </c>
      <c r="B1" s="84"/>
      <c r="C1" s="83" t="s">
        <v>39</v>
      </c>
      <c r="D1" s="83"/>
      <c r="E1" s="83"/>
      <c r="F1" s="83"/>
      <c r="G1" s="39"/>
    </row>
    <row r="2" spans="1:7" ht="15.75" customHeight="1" x14ac:dyDescent="0.25">
      <c r="A2" s="37"/>
      <c r="B2" s="37"/>
      <c r="C2" s="37"/>
      <c r="D2" s="37"/>
      <c r="E2" s="37"/>
      <c r="F2" s="37"/>
      <c r="G2" s="37"/>
    </row>
    <row r="3" spans="1:7" ht="15.75" customHeight="1" thickBot="1" x14ac:dyDescent="0.3"/>
    <row r="4" spans="1:7" ht="15.75" customHeight="1" x14ac:dyDescent="0.25">
      <c r="A4" s="85"/>
      <c r="B4" s="86"/>
      <c r="C4" s="91" t="s">
        <v>93</v>
      </c>
      <c r="D4" s="92"/>
      <c r="E4" s="92"/>
      <c r="F4" s="93" t="s">
        <v>92</v>
      </c>
      <c r="G4" s="95" t="s">
        <v>91</v>
      </c>
    </row>
    <row r="5" spans="1:7" ht="15.75" customHeight="1" x14ac:dyDescent="0.25">
      <c r="A5" s="87"/>
      <c r="B5" s="88"/>
      <c r="C5" s="98" t="s">
        <v>90</v>
      </c>
      <c r="D5" s="67"/>
      <c r="E5" s="67"/>
      <c r="F5" s="94"/>
      <c r="G5" s="96"/>
    </row>
    <row r="6" spans="1:7" ht="15.75" customHeight="1" x14ac:dyDescent="0.25">
      <c r="A6" s="87"/>
      <c r="B6" s="88"/>
      <c r="C6" s="99" t="s">
        <v>89</v>
      </c>
      <c r="D6" s="78"/>
      <c r="E6" s="78"/>
      <c r="F6" s="100" t="s">
        <v>88</v>
      </c>
      <c r="G6" s="96"/>
    </row>
    <row r="7" spans="1:7" ht="26.25" customHeight="1" x14ac:dyDescent="0.25">
      <c r="A7" s="89"/>
      <c r="B7" s="90"/>
      <c r="C7" s="101" t="s">
        <v>87</v>
      </c>
      <c r="D7" s="75"/>
      <c r="E7" s="75"/>
      <c r="F7" s="94"/>
      <c r="G7" s="97"/>
    </row>
    <row r="8" spans="1:7" ht="15.75" customHeight="1" thickBot="1" x14ac:dyDescent="0.35">
      <c r="A8" s="36"/>
      <c r="B8" s="35"/>
      <c r="C8" s="34"/>
      <c r="D8" s="34"/>
      <c r="E8" s="34"/>
      <c r="F8" s="33"/>
      <c r="G8" s="32"/>
    </row>
    <row r="9" spans="1:7" ht="15.75" customHeight="1" x14ac:dyDescent="0.25">
      <c r="A9" s="31" t="s">
        <v>86</v>
      </c>
      <c r="B9" s="28"/>
      <c r="C9" s="30" t="s">
        <v>85</v>
      </c>
      <c r="D9" s="29"/>
      <c r="E9" s="28" t="s">
        <v>84</v>
      </c>
      <c r="F9" s="27">
        <v>45960</v>
      </c>
      <c r="G9" s="26"/>
    </row>
    <row r="10" spans="1:7" ht="15.75" customHeight="1" thickBot="1" x14ac:dyDescent="0.3">
      <c r="A10" s="25" t="s">
        <v>83</v>
      </c>
      <c r="B10" s="23"/>
      <c r="C10" s="24"/>
      <c r="D10" s="22"/>
      <c r="E10" s="23"/>
      <c r="F10" s="22"/>
      <c r="G10" s="21"/>
    </row>
    <row r="11" spans="1:7" ht="15.75" customHeight="1" x14ac:dyDescent="0.25">
      <c r="A11" s="16"/>
      <c r="B11" s="13"/>
      <c r="C11" s="13"/>
      <c r="D11" s="13"/>
      <c r="E11" s="13"/>
      <c r="F11" s="13"/>
      <c r="G11" s="10"/>
    </row>
    <row r="12" spans="1:7" ht="15.75" customHeight="1" x14ac:dyDescent="0.25">
      <c r="A12" s="68" t="s">
        <v>82</v>
      </c>
      <c r="B12" s="67"/>
      <c r="C12" s="67"/>
      <c r="D12" s="67"/>
      <c r="E12" s="67"/>
      <c r="F12" s="67"/>
      <c r="G12" s="76"/>
    </row>
    <row r="13" spans="1:7" ht="15.75" customHeight="1" x14ac:dyDescent="0.25">
      <c r="A13" s="16"/>
      <c r="B13" s="13"/>
      <c r="C13" s="13"/>
      <c r="D13" s="20"/>
      <c r="E13" s="13"/>
      <c r="F13" s="13"/>
      <c r="G13" s="10"/>
    </row>
    <row r="14" spans="1:7" ht="15.75" customHeight="1" x14ac:dyDescent="0.25">
      <c r="A14" s="77" t="s">
        <v>81</v>
      </c>
      <c r="B14" s="78"/>
      <c r="C14" s="78"/>
      <c r="D14" s="81" t="str">
        <f>C1</f>
        <v>Office Supplies Expenses</v>
      </c>
      <c r="E14" s="82"/>
      <c r="F14" s="82"/>
      <c r="G14" s="19" t="str">
        <f>VLOOKUP(C1,Reference!B2:C39,2,)</f>
        <v>5-02-03-010</v>
      </c>
    </row>
    <row r="15" spans="1:7" ht="15.75" customHeight="1" x14ac:dyDescent="0.25">
      <c r="A15" s="79" t="s">
        <v>80</v>
      </c>
      <c r="B15" s="80"/>
      <c r="C15" s="80"/>
      <c r="D15" s="71">
        <f>VLOOKUP(C1,Reference!B2:D39,3,)</f>
        <v>84492.800000000003</v>
      </c>
      <c r="E15" s="72"/>
      <c r="F15" s="72"/>
      <c r="G15" s="18"/>
    </row>
    <row r="16" spans="1:7" ht="15.75" customHeight="1" x14ac:dyDescent="0.25">
      <c r="A16" s="79" t="s">
        <v>79</v>
      </c>
      <c r="B16" s="80"/>
      <c r="C16" s="80"/>
      <c r="D16" s="69">
        <f>VLOOKUP(C1,Reference!B2:E39,4,FALSE)</f>
        <v>8449280</v>
      </c>
      <c r="E16" s="73"/>
      <c r="F16" s="73"/>
      <c r="G16" s="18"/>
    </row>
    <row r="17" spans="1:7" ht="15.75" customHeight="1" x14ac:dyDescent="0.25">
      <c r="A17" s="79" t="s">
        <v>78</v>
      </c>
      <c r="B17" s="80"/>
      <c r="C17" s="80"/>
      <c r="D17" s="69"/>
      <c r="E17" s="70"/>
      <c r="F17" s="70"/>
      <c r="G17" s="18"/>
    </row>
    <row r="18" spans="1:7" ht="15.75" customHeight="1" x14ac:dyDescent="0.25">
      <c r="A18" s="74" t="s">
        <v>77</v>
      </c>
      <c r="B18" s="75"/>
      <c r="C18" s="75"/>
      <c r="D18" s="69">
        <f>D16-D17</f>
        <v>8449280</v>
      </c>
      <c r="E18" s="70"/>
      <c r="F18" s="70"/>
      <c r="G18" s="17"/>
    </row>
    <row r="19" spans="1:7" ht="15.75" customHeight="1" x14ac:dyDescent="0.25">
      <c r="A19" s="16"/>
      <c r="B19" s="13"/>
      <c r="C19" s="13"/>
      <c r="D19" s="13"/>
      <c r="E19" s="13"/>
      <c r="F19" s="13"/>
      <c r="G19" s="10"/>
    </row>
    <row r="20" spans="1:7" ht="15.75" customHeight="1" x14ac:dyDescent="0.25">
      <c r="A20" s="66"/>
      <c r="B20" s="67"/>
      <c r="C20" s="13"/>
      <c r="D20" s="13"/>
      <c r="E20" s="13" t="s">
        <v>76</v>
      </c>
      <c r="F20" s="13"/>
      <c r="G20" s="10"/>
    </row>
    <row r="21" spans="1:7" ht="15.75" customHeight="1" x14ac:dyDescent="0.25">
      <c r="A21" s="16"/>
      <c r="B21" s="13"/>
      <c r="C21" s="13"/>
      <c r="D21" s="13"/>
      <c r="E21" s="13"/>
      <c r="F21" s="13"/>
      <c r="G21" s="10"/>
    </row>
    <row r="22" spans="1:7" ht="15.75" customHeight="1" x14ac:dyDescent="0.25">
      <c r="A22" s="16"/>
      <c r="B22" s="13"/>
      <c r="C22" s="13"/>
      <c r="D22" s="13"/>
      <c r="E22" s="15" t="s">
        <v>70</v>
      </c>
      <c r="F22" s="15"/>
      <c r="G22" s="14"/>
    </row>
    <row r="23" spans="1:7" ht="15.75" customHeight="1" x14ac:dyDescent="0.25">
      <c r="A23" s="68"/>
      <c r="B23" s="67"/>
      <c r="C23" s="67"/>
      <c r="D23" s="13"/>
      <c r="E23" s="12" t="s">
        <v>71</v>
      </c>
      <c r="F23" s="11"/>
      <c r="G23" s="10"/>
    </row>
    <row r="24" spans="1:7" ht="15.75" customHeight="1" thickBot="1" x14ac:dyDescent="0.3">
      <c r="A24" s="9"/>
      <c r="B24" s="8"/>
      <c r="C24" s="8"/>
      <c r="D24" s="8"/>
      <c r="E24" s="8"/>
      <c r="F24" s="8"/>
      <c r="G24" s="7"/>
    </row>
    <row r="25" spans="1:7" ht="15.75" customHeight="1" x14ac:dyDescent="0.25"/>
    <row r="26" spans="1:7" ht="15.75" customHeight="1" x14ac:dyDescent="0.25"/>
    <row r="27" spans="1:7" ht="15.75" customHeight="1" x14ac:dyDescent="0.25"/>
    <row r="28" spans="1:7" ht="15.75" customHeight="1" x14ac:dyDescent="0.25"/>
    <row r="29" spans="1:7" ht="15.75" customHeight="1" x14ac:dyDescent="0.25"/>
    <row r="30" spans="1:7" ht="15.75" customHeight="1" x14ac:dyDescent="0.25"/>
    <row r="31" spans="1:7" ht="15.75" customHeight="1" x14ac:dyDescent="0.25"/>
    <row r="32" spans="1:7" ht="15.75" customHeight="1" x14ac:dyDescent="0.25"/>
    <row r="33" s="6" customFormat="1" ht="15.75" customHeight="1" x14ac:dyDescent="0.25"/>
    <row r="34" s="6" customFormat="1" ht="15.75" customHeight="1" x14ac:dyDescent="0.25"/>
    <row r="35" s="6" customFormat="1" ht="15.75" customHeight="1" x14ac:dyDescent="0.25"/>
    <row r="36" s="6" customFormat="1" ht="15.75" customHeight="1" x14ac:dyDescent="0.25"/>
    <row r="37" s="6" customFormat="1" ht="15.75" customHeight="1" x14ac:dyDescent="0.25"/>
    <row r="38" s="6" customFormat="1" ht="15.75" customHeight="1" x14ac:dyDescent="0.25"/>
    <row r="39" s="6" customFormat="1" ht="15.75" customHeight="1" x14ac:dyDescent="0.25"/>
    <row r="40" s="6" customFormat="1" ht="15.75" customHeight="1" x14ac:dyDescent="0.25"/>
    <row r="41" s="6" customFormat="1" ht="15.75" customHeight="1" x14ac:dyDescent="0.25"/>
    <row r="42" s="6" customFormat="1" ht="15.75" customHeight="1" x14ac:dyDescent="0.25"/>
    <row r="43" s="6" customFormat="1" ht="15.75" customHeight="1" x14ac:dyDescent="0.25"/>
    <row r="44" s="6" customFormat="1" ht="15.75" customHeight="1" x14ac:dyDescent="0.25"/>
    <row r="45" s="6" customFormat="1" ht="15.75" customHeight="1" x14ac:dyDescent="0.25"/>
    <row r="46" s="6" customFormat="1" ht="15.75" customHeight="1" x14ac:dyDescent="0.25"/>
    <row r="47" s="6" customFormat="1" ht="15.75" customHeight="1" x14ac:dyDescent="0.25"/>
    <row r="48" s="6" customFormat="1" ht="15.75" customHeight="1" x14ac:dyDescent="0.25"/>
    <row r="49" s="6" customFormat="1" ht="15.75" customHeight="1" x14ac:dyDescent="0.25"/>
    <row r="50" s="6" customFormat="1" ht="15.75" customHeight="1" x14ac:dyDescent="0.25"/>
    <row r="51" s="6" customFormat="1" ht="15.75" customHeight="1" x14ac:dyDescent="0.25"/>
    <row r="52" s="6" customFormat="1" ht="15.75" customHeight="1" x14ac:dyDescent="0.25"/>
    <row r="53" s="6" customFormat="1" ht="15.75" customHeight="1" x14ac:dyDescent="0.25"/>
    <row r="54" s="6" customFormat="1" ht="15.75" customHeight="1" x14ac:dyDescent="0.25"/>
    <row r="55" s="6" customFormat="1" ht="15.75" customHeight="1" x14ac:dyDescent="0.25"/>
    <row r="56" s="6" customFormat="1" ht="15.75" customHeight="1" x14ac:dyDescent="0.25"/>
    <row r="57" s="6" customFormat="1" ht="15.75" customHeight="1" x14ac:dyDescent="0.25"/>
    <row r="58" s="6" customFormat="1" ht="15.75" customHeight="1" x14ac:dyDescent="0.25"/>
    <row r="59" s="6" customFormat="1" ht="15.75" customHeight="1" x14ac:dyDescent="0.25"/>
    <row r="60" s="6" customFormat="1" ht="15.75" customHeight="1" x14ac:dyDescent="0.25"/>
    <row r="61" s="6" customFormat="1" ht="15.75" customHeight="1" x14ac:dyDescent="0.25"/>
    <row r="62" s="6" customFormat="1" ht="15.75" customHeight="1" x14ac:dyDescent="0.25"/>
    <row r="63" s="6" customFormat="1" ht="15.75" customHeight="1" x14ac:dyDescent="0.25"/>
    <row r="64" s="6" customFormat="1" ht="15.75" customHeight="1" x14ac:dyDescent="0.25"/>
    <row r="65" s="6" customFormat="1" ht="15.75" customHeight="1" x14ac:dyDescent="0.25"/>
    <row r="66" s="6" customFormat="1" ht="15.75" customHeight="1" x14ac:dyDescent="0.25"/>
    <row r="67" s="6" customFormat="1" ht="15.75" customHeight="1" x14ac:dyDescent="0.25"/>
    <row r="68" s="6" customFormat="1" ht="15.75" customHeight="1" x14ac:dyDescent="0.25"/>
    <row r="69" s="6" customFormat="1" ht="15.75" customHeight="1" x14ac:dyDescent="0.25"/>
    <row r="70" s="6" customFormat="1" ht="15.75" customHeight="1" x14ac:dyDescent="0.25"/>
    <row r="71" s="6" customFormat="1" ht="15.75" customHeight="1" x14ac:dyDescent="0.25"/>
    <row r="72" s="6" customFormat="1" ht="15.75" customHeight="1" x14ac:dyDescent="0.25"/>
    <row r="73" s="6" customFormat="1" ht="15.75" customHeight="1" x14ac:dyDescent="0.25"/>
    <row r="74" s="6" customFormat="1" ht="15.75" customHeight="1" x14ac:dyDescent="0.25"/>
    <row r="75" s="6" customFormat="1" ht="15.75" customHeight="1" x14ac:dyDescent="0.25"/>
    <row r="76" s="6" customFormat="1" ht="15.75" customHeight="1" x14ac:dyDescent="0.25"/>
    <row r="77" s="6" customFormat="1" ht="15.75" customHeight="1" x14ac:dyDescent="0.25"/>
    <row r="78" s="6" customFormat="1" ht="15.75" customHeight="1" x14ac:dyDescent="0.25"/>
    <row r="79" s="6" customFormat="1" ht="15.75" customHeight="1" x14ac:dyDescent="0.25"/>
    <row r="80" s="6" customFormat="1" ht="15.75" customHeight="1" x14ac:dyDescent="0.25"/>
    <row r="81" s="6" customFormat="1" ht="15.75" customHeight="1" x14ac:dyDescent="0.25"/>
    <row r="82" s="6" customFormat="1" ht="15.75" customHeight="1" x14ac:dyDescent="0.25"/>
    <row r="83" s="6" customFormat="1" ht="15.75" customHeight="1" x14ac:dyDescent="0.25"/>
    <row r="84" s="6" customFormat="1" ht="15.75" customHeight="1" x14ac:dyDescent="0.25"/>
    <row r="85" s="6" customFormat="1" ht="15.75" customHeight="1" x14ac:dyDescent="0.25"/>
    <row r="86" s="6" customFormat="1" ht="15.75" customHeight="1" x14ac:dyDescent="0.25"/>
    <row r="87" s="6" customFormat="1" ht="15.75" customHeight="1" x14ac:dyDescent="0.25"/>
    <row r="88" s="6" customFormat="1" ht="15.75" customHeight="1" x14ac:dyDescent="0.25"/>
    <row r="89" s="6" customFormat="1" ht="15.75" customHeight="1" x14ac:dyDescent="0.25"/>
    <row r="90" s="6" customFormat="1" ht="15.75" customHeight="1" x14ac:dyDescent="0.25"/>
    <row r="91" s="6" customFormat="1" ht="15.75" customHeight="1" x14ac:dyDescent="0.25"/>
    <row r="92" s="6" customFormat="1" ht="15.75" customHeight="1" x14ac:dyDescent="0.25"/>
    <row r="93" s="6" customFormat="1" ht="15.75" customHeight="1" x14ac:dyDescent="0.25"/>
    <row r="94" s="6" customFormat="1" ht="15.75" customHeight="1" x14ac:dyDescent="0.25"/>
    <row r="95" s="6" customFormat="1" ht="15.75" customHeight="1" x14ac:dyDescent="0.25"/>
    <row r="96" s="6" customFormat="1" ht="15.75" customHeight="1" x14ac:dyDescent="0.25"/>
    <row r="97" s="6" customFormat="1" ht="15.75" customHeight="1" x14ac:dyDescent="0.25"/>
    <row r="98" s="6" customFormat="1" ht="15.75" customHeight="1" x14ac:dyDescent="0.25"/>
    <row r="99" s="6" customFormat="1" ht="15.75" customHeight="1" x14ac:dyDescent="0.25"/>
    <row r="100" s="6" customFormat="1" ht="15.75" customHeight="1" x14ac:dyDescent="0.25"/>
    <row r="101" s="6" customFormat="1" ht="15.75" customHeight="1" x14ac:dyDescent="0.25"/>
    <row r="102" s="6" customFormat="1" ht="15.75" customHeight="1" x14ac:dyDescent="0.25"/>
    <row r="103" s="6" customFormat="1" ht="15.75" customHeight="1" x14ac:dyDescent="0.25"/>
    <row r="104" s="6" customFormat="1" ht="15.75" customHeight="1" x14ac:dyDescent="0.25"/>
    <row r="105" s="6" customFormat="1" ht="15.75" customHeight="1" x14ac:dyDescent="0.25"/>
    <row r="106" s="6" customFormat="1" ht="15.75" customHeight="1" x14ac:dyDescent="0.25"/>
    <row r="107" s="6" customFormat="1" ht="15.75" customHeight="1" x14ac:dyDescent="0.25"/>
    <row r="108" s="6" customFormat="1" ht="15.75" customHeight="1" x14ac:dyDescent="0.25"/>
    <row r="109" s="6" customFormat="1" ht="15.75" customHeight="1" x14ac:dyDescent="0.25"/>
    <row r="110" s="6" customFormat="1" ht="15.75" customHeight="1" x14ac:dyDescent="0.25"/>
    <row r="111" s="6" customFormat="1" ht="15.75" customHeight="1" x14ac:dyDescent="0.25"/>
    <row r="112" s="6" customFormat="1" ht="15.75" customHeight="1" x14ac:dyDescent="0.25"/>
    <row r="113" s="6" customFormat="1" ht="15.75" customHeight="1" x14ac:dyDescent="0.25"/>
    <row r="114" s="6" customFormat="1" ht="15.75" customHeight="1" x14ac:dyDescent="0.25"/>
    <row r="115" s="6" customFormat="1" ht="15.75" customHeight="1" x14ac:dyDescent="0.25"/>
    <row r="116" s="6" customFormat="1" ht="15.75" customHeight="1" x14ac:dyDescent="0.25"/>
    <row r="117" s="6" customFormat="1" ht="15.75" customHeight="1" x14ac:dyDescent="0.25"/>
    <row r="118" s="6" customFormat="1" ht="15.75" customHeight="1" x14ac:dyDescent="0.25"/>
    <row r="119" s="6" customFormat="1" ht="15.75" customHeight="1" x14ac:dyDescent="0.25"/>
    <row r="120" s="6" customFormat="1" ht="15.75" customHeight="1" x14ac:dyDescent="0.25"/>
    <row r="121" s="6" customFormat="1" ht="15.75" customHeight="1" x14ac:dyDescent="0.25"/>
    <row r="122" s="6" customFormat="1" ht="15.75" customHeight="1" x14ac:dyDescent="0.25"/>
    <row r="123" s="6" customFormat="1" ht="15.75" customHeight="1" x14ac:dyDescent="0.25"/>
    <row r="124" s="6" customFormat="1" ht="15.75" customHeight="1" x14ac:dyDescent="0.25"/>
    <row r="125" s="6" customFormat="1" ht="15.75" customHeight="1" x14ac:dyDescent="0.25"/>
    <row r="126" s="6" customFormat="1" ht="15.75" customHeight="1" x14ac:dyDescent="0.25"/>
    <row r="127" s="6" customFormat="1" ht="15.75" customHeight="1" x14ac:dyDescent="0.25"/>
    <row r="128" s="6" customFormat="1" ht="15.75" customHeight="1" x14ac:dyDescent="0.25"/>
    <row r="129" s="6" customFormat="1" ht="15.75" customHeight="1" x14ac:dyDescent="0.25"/>
    <row r="130" s="6" customFormat="1" ht="15.75" customHeight="1" x14ac:dyDescent="0.25"/>
    <row r="131" s="6" customFormat="1" ht="15.75" customHeight="1" x14ac:dyDescent="0.25"/>
    <row r="132" s="6" customFormat="1" ht="15.75" customHeight="1" x14ac:dyDescent="0.25"/>
    <row r="133" s="6" customFormat="1" ht="15.75" customHeight="1" x14ac:dyDescent="0.25"/>
    <row r="134" s="6" customFormat="1" ht="15.75" customHeight="1" x14ac:dyDescent="0.25"/>
    <row r="135" s="6" customFormat="1" ht="15.75" customHeight="1" x14ac:dyDescent="0.25"/>
    <row r="136" s="6" customFormat="1" ht="15.75" customHeight="1" x14ac:dyDescent="0.25"/>
    <row r="137" s="6" customFormat="1" ht="15.75" customHeight="1" x14ac:dyDescent="0.25"/>
    <row r="138" s="6" customFormat="1" ht="15.75" customHeight="1" x14ac:dyDescent="0.25"/>
    <row r="139" s="6" customFormat="1" ht="15.75" customHeight="1" x14ac:dyDescent="0.25"/>
    <row r="140" s="6" customFormat="1" ht="15.75" customHeight="1" x14ac:dyDescent="0.25"/>
    <row r="141" s="6" customFormat="1" ht="15.75" customHeight="1" x14ac:dyDescent="0.25"/>
    <row r="142" s="6" customFormat="1" ht="15.75" customHeight="1" x14ac:dyDescent="0.25"/>
    <row r="143" s="6" customFormat="1" ht="15.75" customHeight="1" x14ac:dyDescent="0.25"/>
    <row r="144" s="6" customFormat="1" ht="15.75" customHeight="1" x14ac:dyDescent="0.25"/>
    <row r="145" s="6" customFormat="1" ht="15.75" customHeight="1" x14ac:dyDescent="0.25"/>
    <row r="146" s="6" customFormat="1" ht="15.75" customHeight="1" x14ac:dyDescent="0.25"/>
    <row r="147" s="6" customFormat="1" ht="15.75" customHeight="1" x14ac:dyDescent="0.25"/>
    <row r="148" s="6" customFormat="1" ht="15.75" customHeight="1" x14ac:dyDescent="0.25"/>
    <row r="149" s="6" customFormat="1" ht="15.75" customHeight="1" x14ac:dyDescent="0.25"/>
    <row r="150" s="6" customFormat="1" ht="15.75" customHeight="1" x14ac:dyDescent="0.25"/>
    <row r="151" s="6" customFormat="1" ht="15.75" customHeight="1" x14ac:dyDescent="0.25"/>
    <row r="152" s="6" customFormat="1" ht="15.75" customHeight="1" x14ac:dyDescent="0.25"/>
    <row r="153" s="6" customFormat="1" ht="15.75" customHeight="1" x14ac:dyDescent="0.25"/>
    <row r="154" s="6" customFormat="1" ht="15.75" customHeight="1" x14ac:dyDescent="0.25"/>
    <row r="155" s="6" customFormat="1" ht="15.75" customHeight="1" x14ac:dyDescent="0.25"/>
    <row r="156" s="6" customFormat="1" ht="15.75" customHeight="1" x14ac:dyDescent="0.25"/>
    <row r="157" s="6" customFormat="1" ht="15.75" customHeight="1" x14ac:dyDescent="0.25"/>
    <row r="158" s="6" customFormat="1" ht="15.75" customHeight="1" x14ac:dyDescent="0.25"/>
    <row r="159" s="6" customFormat="1" ht="15.75" customHeight="1" x14ac:dyDescent="0.25"/>
    <row r="160" s="6" customFormat="1" ht="15.75" customHeight="1" x14ac:dyDescent="0.25"/>
    <row r="161" s="6" customFormat="1" ht="15.75" customHeight="1" x14ac:dyDescent="0.25"/>
    <row r="162" s="6" customFormat="1" ht="15.75" customHeight="1" x14ac:dyDescent="0.25"/>
    <row r="163" s="6" customFormat="1" ht="15.75" customHeight="1" x14ac:dyDescent="0.25"/>
    <row r="164" s="6" customFormat="1" ht="15.75" customHeight="1" x14ac:dyDescent="0.25"/>
    <row r="165" s="6" customFormat="1" ht="15.75" customHeight="1" x14ac:dyDescent="0.25"/>
    <row r="166" s="6" customFormat="1" ht="15.75" customHeight="1" x14ac:dyDescent="0.25"/>
    <row r="167" s="6" customFormat="1" ht="15.75" customHeight="1" x14ac:dyDescent="0.25"/>
    <row r="168" s="6" customFormat="1" ht="15.75" customHeight="1" x14ac:dyDescent="0.25"/>
    <row r="169" s="6" customFormat="1" ht="15.75" customHeight="1" x14ac:dyDescent="0.25"/>
    <row r="170" s="6" customFormat="1" ht="15.75" customHeight="1" x14ac:dyDescent="0.25"/>
    <row r="171" s="6" customFormat="1" ht="15.75" customHeight="1" x14ac:dyDescent="0.25"/>
    <row r="172" s="6" customFormat="1" ht="15.75" customHeight="1" x14ac:dyDescent="0.25"/>
    <row r="173" s="6" customFormat="1" ht="15.75" customHeight="1" x14ac:dyDescent="0.25"/>
    <row r="174" s="6" customFormat="1" ht="15.75" customHeight="1" x14ac:dyDescent="0.25"/>
    <row r="175" s="6" customFormat="1" ht="15.75" customHeight="1" x14ac:dyDescent="0.25"/>
    <row r="176" s="6" customFormat="1" ht="15.75" customHeight="1" x14ac:dyDescent="0.25"/>
    <row r="177" s="6" customFormat="1" ht="15.75" customHeight="1" x14ac:dyDescent="0.25"/>
    <row r="178" s="6" customFormat="1" ht="15.75" customHeight="1" x14ac:dyDescent="0.25"/>
    <row r="179" s="6" customFormat="1" ht="15.75" customHeight="1" x14ac:dyDescent="0.25"/>
    <row r="180" s="6" customFormat="1" ht="15.75" customHeight="1" x14ac:dyDescent="0.25"/>
    <row r="181" s="6" customFormat="1" ht="15.75" customHeight="1" x14ac:dyDescent="0.25"/>
    <row r="182" s="6" customFormat="1" ht="15.75" customHeight="1" x14ac:dyDescent="0.25"/>
    <row r="183" s="6" customFormat="1" ht="15.75" customHeight="1" x14ac:dyDescent="0.25"/>
    <row r="184" s="6" customFormat="1" ht="15.75" customHeight="1" x14ac:dyDescent="0.25"/>
    <row r="185" s="6" customFormat="1" ht="15.75" customHeight="1" x14ac:dyDescent="0.25"/>
    <row r="186" s="6" customFormat="1" ht="15.75" customHeight="1" x14ac:dyDescent="0.25"/>
    <row r="187" s="6" customFormat="1" ht="15.75" customHeight="1" x14ac:dyDescent="0.25"/>
    <row r="188" s="6" customFormat="1" ht="15.75" customHeight="1" x14ac:dyDescent="0.25"/>
    <row r="189" s="6" customFormat="1" ht="15.75" customHeight="1" x14ac:dyDescent="0.25"/>
    <row r="190" s="6" customFormat="1" ht="15.75" customHeight="1" x14ac:dyDescent="0.25"/>
    <row r="191" s="6" customFormat="1" ht="15.75" customHeight="1" x14ac:dyDescent="0.25"/>
    <row r="192" s="6" customFormat="1" ht="15.75" customHeight="1" x14ac:dyDescent="0.25"/>
    <row r="193" s="6" customFormat="1" ht="15.75" customHeight="1" x14ac:dyDescent="0.25"/>
    <row r="194" s="6" customFormat="1" ht="15.75" customHeight="1" x14ac:dyDescent="0.25"/>
    <row r="195" s="6" customFormat="1" ht="15.75" customHeight="1" x14ac:dyDescent="0.25"/>
    <row r="196" s="6" customFormat="1" ht="15.75" customHeight="1" x14ac:dyDescent="0.25"/>
    <row r="197" s="6" customFormat="1" ht="15.75" customHeight="1" x14ac:dyDescent="0.25"/>
    <row r="198" s="6" customFormat="1" ht="15.75" customHeight="1" x14ac:dyDescent="0.25"/>
    <row r="199" s="6" customFormat="1" ht="15.75" customHeight="1" x14ac:dyDescent="0.25"/>
    <row r="200" s="6" customFormat="1" ht="15.75" customHeight="1" x14ac:dyDescent="0.25"/>
    <row r="201" s="6" customFormat="1" ht="15.75" customHeight="1" x14ac:dyDescent="0.25"/>
    <row r="202" s="6" customFormat="1" ht="15.75" customHeight="1" x14ac:dyDescent="0.25"/>
    <row r="203" s="6" customFormat="1" ht="15.75" customHeight="1" x14ac:dyDescent="0.25"/>
    <row r="204" s="6" customFormat="1" ht="15.75" customHeight="1" x14ac:dyDescent="0.25"/>
    <row r="205" s="6" customFormat="1" ht="15.75" customHeight="1" x14ac:dyDescent="0.25"/>
    <row r="206" s="6" customFormat="1" ht="15.75" customHeight="1" x14ac:dyDescent="0.25"/>
    <row r="207" s="6" customFormat="1" ht="15.75" customHeight="1" x14ac:dyDescent="0.25"/>
    <row r="208" s="6" customFormat="1" ht="15.75" customHeight="1" x14ac:dyDescent="0.25"/>
    <row r="209" s="6" customFormat="1" ht="15.75" customHeight="1" x14ac:dyDescent="0.25"/>
    <row r="210" s="6" customFormat="1" ht="15.75" customHeight="1" x14ac:dyDescent="0.25"/>
    <row r="211" s="6" customFormat="1" ht="15.75" customHeight="1" x14ac:dyDescent="0.25"/>
    <row r="212" s="6" customFormat="1" ht="15.75" customHeight="1" x14ac:dyDescent="0.25"/>
    <row r="213" s="6" customFormat="1" ht="15.75" customHeight="1" x14ac:dyDescent="0.25"/>
    <row r="214" s="6" customFormat="1" ht="15.75" customHeight="1" x14ac:dyDescent="0.25"/>
    <row r="215" s="6" customFormat="1" ht="15.75" customHeight="1" x14ac:dyDescent="0.25"/>
    <row r="216" s="6" customFormat="1" ht="15.75" customHeight="1" x14ac:dyDescent="0.25"/>
    <row r="217" s="6" customFormat="1" ht="15.75" customHeight="1" x14ac:dyDescent="0.25"/>
    <row r="218" s="6" customFormat="1" ht="15.75" customHeight="1" x14ac:dyDescent="0.25"/>
    <row r="219" s="6" customFormat="1" ht="15.75" customHeight="1" x14ac:dyDescent="0.25"/>
    <row r="220" s="6" customFormat="1" ht="15.75" customHeight="1" x14ac:dyDescent="0.25"/>
    <row r="221" s="6" customFormat="1" ht="15.75" customHeight="1" x14ac:dyDescent="0.25"/>
    <row r="222" s="6" customFormat="1" ht="15.75" customHeight="1" x14ac:dyDescent="0.25"/>
    <row r="223" s="6" customFormat="1" ht="15.75" customHeight="1" x14ac:dyDescent="0.25"/>
    <row r="224" s="6" customFormat="1" ht="15.75" customHeight="1" x14ac:dyDescent="0.25"/>
    <row r="225" s="6" customFormat="1" ht="15.75" customHeight="1" x14ac:dyDescent="0.25"/>
    <row r="226" s="6" customFormat="1" ht="15.75" customHeight="1" x14ac:dyDescent="0.25"/>
    <row r="227" s="6" customFormat="1" ht="15.75" customHeight="1" x14ac:dyDescent="0.25"/>
    <row r="228" s="6" customFormat="1" ht="15.75" customHeight="1" x14ac:dyDescent="0.25"/>
    <row r="229" s="6" customFormat="1" ht="15.75" customHeight="1" x14ac:dyDescent="0.25"/>
    <row r="230" s="6" customFormat="1" ht="15.75" customHeight="1" x14ac:dyDescent="0.25"/>
    <row r="231" s="6" customFormat="1" ht="15.75" customHeight="1" x14ac:dyDescent="0.25"/>
    <row r="232" s="6" customFormat="1" ht="15.75" customHeight="1" x14ac:dyDescent="0.25"/>
    <row r="233" s="6" customFormat="1" ht="15.75" customHeight="1" x14ac:dyDescent="0.25"/>
    <row r="234" s="6" customFormat="1" ht="15.75" customHeight="1" x14ac:dyDescent="0.25"/>
    <row r="235" s="6" customFormat="1" ht="15.75" customHeight="1" x14ac:dyDescent="0.25"/>
    <row r="236" s="6" customFormat="1" ht="15.75" customHeight="1" x14ac:dyDescent="0.25"/>
    <row r="237" s="6" customFormat="1" ht="15.75" customHeight="1" x14ac:dyDescent="0.25"/>
    <row r="238" s="6" customFormat="1" ht="15.75" customHeight="1" x14ac:dyDescent="0.25"/>
    <row r="239" s="6" customFormat="1" ht="15.75" customHeight="1" x14ac:dyDescent="0.25"/>
    <row r="240" s="6" customFormat="1" ht="15.75" customHeight="1" x14ac:dyDescent="0.25"/>
    <row r="241" s="6" customFormat="1" ht="15.75" customHeight="1" x14ac:dyDescent="0.25"/>
    <row r="242" s="6" customFormat="1" ht="15.75" customHeight="1" x14ac:dyDescent="0.25"/>
    <row r="243" s="6" customFormat="1" ht="15.75" customHeight="1" x14ac:dyDescent="0.25"/>
    <row r="244" s="6" customFormat="1" ht="15.75" customHeight="1" x14ac:dyDescent="0.25"/>
    <row r="245" s="6" customFormat="1" ht="15.75" customHeight="1" x14ac:dyDescent="0.25"/>
    <row r="246" s="6" customFormat="1" ht="15.75" customHeight="1" x14ac:dyDescent="0.25"/>
    <row r="247" s="6" customFormat="1" ht="15.75" customHeight="1" x14ac:dyDescent="0.25"/>
    <row r="248" s="6" customFormat="1" ht="15.75" customHeight="1" x14ac:dyDescent="0.25"/>
    <row r="249" s="6" customFormat="1" ht="15.75" customHeight="1" x14ac:dyDescent="0.25"/>
    <row r="250" s="6" customFormat="1" ht="15.75" customHeight="1" x14ac:dyDescent="0.25"/>
    <row r="251" s="6" customFormat="1" ht="15.75" customHeight="1" x14ac:dyDescent="0.25"/>
    <row r="252" s="6" customFormat="1" ht="15.75" customHeight="1" x14ac:dyDescent="0.25"/>
    <row r="253" s="6" customFormat="1" ht="15.75" customHeight="1" x14ac:dyDescent="0.25"/>
    <row r="254" s="6" customFormat="1" ht="15.75" customHeight="1" x14ac:dyDescent="0.25"/>
    <row r="255" s="6" customFormat="1" ht="15.75" customHeight="1" x14ac:dyDescent="0.25"/>
    <row r="256" s="6" customFormat="1" ht="15.75" customHeight="1" x14ac:dyDescent="0.25"/>
    <row r="257" s="6" customFormat="1" ht="15.75" customHeight="1" x14ac:dyDescent="0.25"/>
    <row r="258" s="6" customFormat="1" ht="15.75" customHeight="1" x14ac:dyDescent="0.25"/>
    <row r="259" s="6" customFormat="1" ht="15.75" customHeight="1" x14ac:dyDescent="0.25"/>
    <row r="260" s="6" customFormat="1" ht="15.75" customHeight="1" x14ac:dyDescent="0.25"/>
    <row r="261" s="6" customFormat="1" ht="15.75" customHeight="1" x14ac:dyDescent="0.25"/>
    <row r="262" s="6" customFormat="1" ht="15.75" customHeight="1" x14ac:dyDescent="0.25"/>
    <row r="263" s="6" customFormat="1" ht="15.75" customHeight="1" x14ac:dyDescent="0.25"/>
    <row r="264" s="6" customFormat="1" ht="15.75" customHeight="1" x14ac:dyDescent="0.25"/>
    <row r="265" s="6" customFormat="1" ht="15.75" customHeight="1" x14ac:dyDescent="0.25"/>
    <row r="266" s="6" customFormat="1" ht="15.75" customHeight="1" x14ac:dyDescent="0.25"/>
    <row r="267" s="6" customFormat="1" ht="15.75" customHeight="1" x14ac:dyDescent="0.25"/>
    <row r="268" s="6" customFormat="1" ht="15.75" customHeight="1" x14ac:dyDescent="0.25"/>
    <row r="269" s="6" customFormat="1" ht="15.75" customHeight="1" x14ac:dyDescent="0.25"/>
    <row r="270" s="6" customFormat="1" ht="15.75" customHeight="1" x14ac:dyDescent="0.25"/>
    <row r="271" s="6" customFormat="1" ht="15.75" customHeight="1" x14ac:dyDescent="0.25"/>
    <row r="272" s="6" customFormat="1" ht="15.75" customHeight="1" x14ac:dyDescent="0.25"/>
    <row r="273" s="6" customFormat="1" ht="15.75" customHeight="1" x14ac:dyDescent="0.25"/>
    <row r="274" s="6" customFormat="1" ht="15.75" customHeight="1" x14ac:dyDescent="0.25"/>
    <row r="275" s="6" customFormat="1" ht="15.75" customHeight="1" x14ac:dyDescent="0.25"/>
    <row r="276" s="6" customFormat="1" ht="15.75" customHeight="1" x14ac:dyDescent="0.25"/>
    <row r="277" s="6" customFormat="1" ht="15.75" customHeight="1" x14ac:dyDescent="0.25"/>
    <row r="278" s="6" customFormat="1" ht="15.75" customHeight="1" x14ac:dyDescent="0.25"/>
    <row r="279" s="6" customFormat="1" ht="15.75" customHeight="1" x14ac:dyDescent="0.25"/>
    <row r="280" s="6" customFormat="1" ht="15.75" customHeight="1" x14ac:dyDescent="0.25"/>
    <row r="281" s="6" customFormat="1" ht="15.75" customHeight="1" x14ac:dyDescent="0.25"/>
    <row r="282" s="6" customFormat="1" ht="15.75" customHeight="1" x14ac:dyDescent="0.25"/>
    <row r="283" s="6" customFormat="1" ht="15.75" customHeight="1" x14ac:dyDescent="0.25"/>
    <row r="284" s="6" customFormat="1" ht="15.75" customHeight="1" x14ac:dyDescent="0.25"/>
    <row r="285" s="6" customFormat="1" ht="15.75" customHeight="1" x14ac:dyDescent="0.25"/>
    <row r="286" s="6" customFormat="1" ht="15.75" customHeight="1" x14ac:dyDescent="0.25"/>
    <row r="287" s="6" customFormat="1" ht="15.75" customHeight="1" x14ac:dyDescent="0.25"/>
    <row r="288" s="6" customFormat="1" ht="15.75" customHeight="1" x14ac:dyDescent="0.25"/>
    <row r="289" s="6" customFormat="1" ht="15.75" customHeight="1" x14ac:dyDescent="0.25"/>
    <row r="290" s="6" customFormat="1" ht="15.75" customHeight="1" x14ac:dyDescent="0.25"/>
    <row r="291" s="6" customFormat="1" ht="15.75" customHeight="1" x14ac:dyDescent="0.25"/>
    <row r="292" s="6" customFormat="1" ht="15.75" customHeight="1" x14ac:dyDescent="0.25"/>
    <row r="293" s="6" customFormat="1" ht="15.75" customHeight="1" x14ac:dyDescent="0.25"/>
    <row r="294" s="6" customFormat="1" ht="15.75" customHeight="1" x14ac:dyDescent="0.25"/>
    <row r="295" s="6" customFormat="1" ht="15.75" customHeight="1" x14ac:dyDescent="0.25"/>
    <row r="296" s="6" customFormat="1" ht="15.75" customHeight="1" x14ac:dyDescent="0.25"/>
    <row r="297" s="6" customFormat="1" ht="15.75" customHeight="1" x14ac:dyDescent="0.25"/>
    <row r="298" s="6" customFormat="1" ht="15.75" customHeight="1" x14ac:dyDescent="0.25"/>
    <row r="299" s="6" customFormat="1" ht="15.75" customHeight="1" x14ac:dyDescent="0.25"/>
    <row r="300" s="6" customFormat="1" ht="15.75" customHeight="1" x14ac:dyDescent="0.25"/>
    <row r="301" s="6" customFormat="1" ht="15.75" customHeight="1" x14ac:dyDescent="0.25"/>
    <row r="302" s="6" customFormat="1" ht="15.75" customHeight="1" x14ac:dyDescent="0.25"/>
    <row r="303" s="6" customFormat="1" ht="15.75" customHeight="1" x14ac:dyDescent="0.25"/>
    <row r="304" s="6" customFormat="1" ht="15.75" customHeight="1" x14ac:dyDescent="0.25"/>
    <row r="305" s="6" customFormat="1" ht="15.75" customHeight="1" x14ac:dyDescent="0.25"/>
    <row r="306" s="6" customFormat="1" ht="15.75" customHeight="1" x14ac:dyDescent="0.25"/>
    <row r="307" s="6" customFormat="1" ht="15.75" customHeight="1" x14ac:dyDescent="0.25"/>
    <row r="308" s="6" customFormat="1" ht="15.75" customHeight="1" x14ac:dyDescent="0.25"/>
    <row r="309" s="6" customFormat="1" ht="15.75" customHeight="1" x14ac:dyDescent="0.25"/>
    <row r="310" s="6" customFormat="1" ht="15.75" customHeight="1" x14ac:dyDescent="0.25"/>
    <row r="311" s="6" customFormat="1" ht="15.75" customHeight="1" x14ac:dyDescent="0.25"/>
    <row r="312" s="6" customFormat="1" ht="15.75" customHeight="1" x14ac:dyDescent="0.25"/>
    <row r="313" s="6" customFormat="1" ht="15.75" customHeight="1" x14ac:dyDescent="0.25"/>
    <row r="314" s="6" customFormat="1" ht="15.75" customHeight="1" x14ac:dyDescent="0.25"/>
    <row r="315" s="6" customFormat="1" ht="15.75" customHeight="1" x14ac:dyDescent="0.25"/>
    <row r="316" s="6" customFormat="1" ht="15.75" customHeight="1" x14ac:dyDescent="0.25"/>
    <row r="317" s="6" customFormat="1" ht="15.75" customHeight="1" x14ac:dyDescent="0.25"/>
    <row r="318" s="6" customFormat="1" ht="15.75" customHeight="1" x14ac:dyDescent="0.25"/>
    <row r="319" s="6" customFormat="1" ht="15.75" customHeight="1" x14ac:dyDescent="0.25"/>
    <row r="320" s="6" customFormat="1" ht="15.75" customHeight="1" x14ac:dyDescent="0.25"/>
    <row r="321" s="6" customFormat="1" ht="15.75" customHeight="1" x14ac:dyDescent="0.25"/>
    <row r="322" s="6" customFormat="1" ht="15.75" customHeight="1" x14ac:dyDescent="0.25"/>
    <row r="323" s="6" customFormat="1" ht="15.75" customHeight="1" x14ac:dyDescent="0.25"/>
    <row r="324" s="6" customFormat="1" ht="15.75" customHeight="1" x14ac:dyDescent="0.25"/>
    <row r="325" s="6" customFormat="1" ht="15.75" customHeight="1" x14ac:dyDescent="0.25"/>
    <row r="326" s="6" customFormat="1" ht="15.75" customHeight="1" x14ac:dyDescent="0.25"/>
    <row r="327" s="6" customFormat="1" ht="15.75" customHeight="1" x14ac:dyDescent="0.25"/>
    <row r="328" s="6" customFormat="1" ht="15.75" customHeight="1" x14ac:dyDescent="0.25"/>
    <row r="329" s="6" customFormat="1" ht="15.75" customHeight="1" x14ac:dyDescent="0.25"/>
    <row r="330" s="6" customFormat="1" ht="15.75" customHeight="1" x14ac:dyDescent="0.25"/>
    <row r="331" s="6" customFormat="1" ht="15.75" customHeight="1" x14ac:dyDescent="0.25"/>
    <row r="332" s="6" customFormat="1" ht="15.75" customHeight="1" x14ac:dyDescent="0.25"/>
    <row r="333" s="6" customFormat="1" ht="15.75" customHeight="1" x14ac:dyDescent="0.25"/>
    <row r="334" s="6" customFormat="1" ht="15.75" customHeight="1" x14ac:dyDescent="0.25"/>
    <row r="335" s="6" customFormat="1" ht="15.75" customHeight="1" x14ac:dyDescent="0.25"/>
    <row r="336" s="6" customFormat="1" ht="15.75" customHeight="1" x14ac:dyDescent="0.25"/>
    <row r="337" s="6" customFormat="1" ht="15.75" customHeight="1" x14ac:dyDescent="0.25"/>
    <row r="338" s="6" customFormat="1" ht="15.75" customHeight="1" x14ac:dyDescent="0.25"/>
    <row r="339" s="6" customFormat="1" ht="15.75" customHeight="1" x14ac:dyDescent="0.25"/>
    <row r="340" s="6" customFormat="1" ht="15.75" customHeight="1" x14ac:dyDescent="0.25"/>
    <row r="341" s="6" customFormat="1" ht="15.75" customHeight="1" x14ac:dyDescent="0.25"/>
    <row r="342" s="6" customFormat="1" ht="15.75" customHeight="1" x14ac:dyDescent="0.25"/>
    <row r="343" s="6" customFormat="1" ht="15.75" customHeight="1" x14ac:dyDescent="0.25"/>
    <row r="344" s="6" customFormat="1" ht="15.75" customHeight="1" x14ac:dyDescent="0.25"/>
    <row r="345" s="6" customFormat="1" ht="15.75" customHeight="1" x14ac:dyDescent="0.25"/>
    <row r="346" s="6" customFormat="1" ht="15.75" customHeight="1" x14ac:dyDescent="0.25"/>
    <row r="347" s="6" customFormat="1" ht="15.75" customHeight="1" x14ac:dyDescent="0.25"/>
    <row r="348" s="6" customFormat="1" ht="15.75" customHeight="1" x14ac:dyDescent="0.25"/>
    <row r="349" s="6" customFormat="1" ht="15.75" customHeight="1" x14ac:dyDescent="0.25"/>
    <row r="350" s="6" customFormat="1" ht="15.75" customHeight="1" x14ac:dyDescent="0.25"/>
    <row r="351" s="6" customFormat="1" ht="15.75" customHeight="1" x14ac:dyDescent="0.25"/>
    <row r="352" s="6" customFormat="1" ht="15.75" customHeight="1" x14ac:dyDescent="0.25"/>
    <row r="353" s="6" customFormat="1" ht="15.75" customHeight="1" x14ac:dyDescent="0.25"/>
    <row r="354" s="6" customFormat="1" ht="15.75" customHeight="1" x14ac:dyDescent="0.25"/>
    <row r="355" s="6" customFormat="1" ht="15.75" customHeight="1" x14ac:dyDescent="0.25"/>
    <row r="356" s="6" customFormat="1" ht="15.75" customHeight="1" x14ac:dyDescent="0.25"/>
    <row r="357" s="6" customFormat="1" ht="15.75" customHeight="1" x14ac:dyDescent="0.25"/>
    <row r="358" s="6" customFormat="1" ht="15.75" customHeight="1" x14ac:dyDescent="0.25"/>
    <row r="359" s="6" customFormat="1" ht="15.75" customHeight="1" x14ac:dyDescent="0.25"/>
    <row r="360" s="6" customFormat="1" ht="15.75" customHeight="1" x14ac:dyDescent="0.25"/>
    <row r="361" s="6" customFormat="1" ht="15.75" customHeight="1" x14ac:dyDescent="0.25"/>
    <row r="362" s="6" customFormat="1" ht="15.75" customHeight="1" x14ac:dyDescent="0.25"/>
    <row r="363" s="6" customFormat="1" ht="15.75" customHeight="1" x14ac:dyDescent="0.25"/>
    <row r="364" s="6" customFormat="1" ht="15.75" customHeight="1" x14ac:dyDescent="0.25"/>
    <row r="365" s="6" customFormat="1" ht="15.75" customHeight="1" x14ac:dyDescent="0.25"/>
    <row r="366" s="6" customFormat="1" ht="15.75" customHeight="1" x14ac:dyDescent="0.25"/>
    <row r="367" s="6" customFormat="1" ht="15.75" customHeight="1" x14ac:dyDescent="0.25"/>
    <row r="368" s="6" customFormat="1" ht="15.75" customHeight="1" x14ac:dyDescent="0.25"/>
    <row r="369" s="6" customFormat="1" ht="15.75" customHeight="1" x14ac:dyDescent="0.25"/>
    <row r="370" s="6" customFormat="1" ht="15.75" customHeight="1" x14ac:dyDescent="0.25"/>
    <row r="371" s="6" customFormat="1" ht="15.75" customHeight="1" x14ac:dyDescent="0.25"/>
    <row r="372" s="6" customFormat="1" ht="15.75" customHeight="1" x14ac:dyDescent="0.25"/>
    <row r="373" s="6" customFormat="1" ht="15.75" customHeight="1" x14ac:dyDescent="0.25"/>
    <row r="374" s="6" customFormat="1" ht="15.75" customHeight="1" x14ac:dyDescent="0.25"/>
    <row r="375" s="6" customFormat="1" ht="15.75" customHeight="1" x14ac:dyDescent="0.25"/>
    <row r="376" s="6" customFormat="1" ht="15.75" customHeight="1" x14ac:dyDescent="0.25"/>
    <row r="377" s="6" customFormat="1" ht="15.75" customHeight="1" x14ac:dyDescent="0.25"/>
    <row r="378" s="6" customFormat="1" ht="15.75" customHeight="1" x14ac:dyDescent="0.25"/>
    <row r="379" s="6" customFormat="1" ht="15.75" customHeight="1" x14ac:dyDescent="0.25"/>
    <row r="380" s="6" customFormat="1" ht="15.75" customHeight="1" x14ac:dyDescent="0.25"/>
    <row r="381" s="6" customFormat="1" ht="15.75" customHeight="1" x14ac:dyDescent="0.25"/>
    <row r="382" s="6" customFormat="1" ht="15.75" customHeight="1" x14ac:dyDescent="0.25"/>
    <row r="383" s="6" customFormat="1" ht="15.75" customHeight="1" x14ac:dyDescent="0.25"/>
    <row r="384" s="6" customFormat="1" ht="15.75" customHeight="1" x14ac:dyDescent="0.25"/>
    <row r="385" s="6" customFormat="1" ht="15.75" customHeight="1" x14ac:dyDescent="0.25"/>
    <row r="386" s="6" customFormat="1" ht="15.75" customHeight="1" x14ac:dyDescent="0.25"/>
    <row r="387" s="6" customFormat="1" ht="15.75" customHeight="1" x14ac:dyDescent="0.25"/>
    <row r="388" s="6" customFormat="1" ht="15.75" customHeight="1" x14ac:dyDescent="0.25"/>
    <row r="389" s="6" customFormat="1" ht="15.75" customHeight="1" x14ac:dyDescent="0.25"/>
    <row r="390" s="6" customFormat="1" ht="15.75" customHeight="1" x14ac:dyDescent="0.25"/>
    <row r="391" s="6" customFormat="1" ht="15.75" customHeight="1" x14ac:dyDescent="0.25"/>
    <row r="392" s="6" customFormat="1" ht="15.75" customHeight="1" x14ac:dyDescent="0.25"/>
    <row r="393" s="6" customFormat="1" ht="15.75" customHeight="1" x14ac:dyDescent="0.25"/>
    <row r="394" s="6" customFormat="1" ht="15.75" customHeight="1" x14ac:dyDescent="0.25"/>
    <row r="395" s="6" customFormat="1" ht="15.75" customHeight="1" x14ac:dyDescent="0.25"/>
    <row r="396" s="6" customFormat="1" ht="15.75" customHeight="1" x14ac:dyDescent="0.25"/>
    <row r="397" s="6" customFormat="1" ht="15.75" customHeight="1" x14ac:dyDescent="0.25"/>
    <row r="398" s="6" customFormat="1" ht="15.75" customHeight="1" x14ac:dyDescent="0.25"/>
    <row r="399" s="6" customFormat="1" ht="15.75" customHeight="1" x14ac:dyDescent="0.25"/>
    <row r="400" s="6" customFormat="1" ht="15.75" customHeight="1" x14ac:dyDescent="0.25"/>
    <row r="401" s="6" customFormat="1" ht="15.75" customHeight="1" x14ac:dyDescent="0.25"/>
    <row r="402" s="6" customFormat="1" ht="15.75" customHeight="1" x14ac:dyDescent="0.25"/>
    <row r="403" s="6" customFormat="1" ht="15.75" customHeight="1" x14ac:dyDescent="0.25"/>
    <row r="404" s="6" customFormat="1" ht="15.75" customHeight="1" x14ac:dyDescent="0.25"/>
    <row r="405" s="6" customFormat="1" ht="15.75" customHeight="1" x14ac:dyDescent="0.25"/>
    <row r="406" s="6" customFormat="1" ht="15.75" customHeight="1" x14ac:dyDescent="0.25"/>
    <row r="407" s="6" customFormat="1" ht="15.75" customHeight="1" x14ac:dyDescent="0.25"/>
    <row r="408" s="6" customFormat="1" ht="15.75" customHeight="1" x14ac:dyDescent="0.25"/>
    <row r="409" s="6" customFormat="1" ht="15.75" customHeight="1" x14ac:dyDescent="0.25"/>
    <row r="410" s="6" customFormat="1" ht="15.75" customHeight="1" x14ac:dyDescent="0.25"/>
    <row r="411" s="6" customFormat="1" ht="15.75" customHeight="1" x14ac:dyDescent="0.25"/>
    <row r="412" s="6" customFormat="1" ht="15.75" customHeight="1" x14ac:dyDescent="0.25"/>
    <row r="413" s="6" customFormat="1" ht="15.75" customHeight="1" x14ac:dyDescent="0.25"/>
    <row r="414" s="6" customFormat="1" ht="15.75" customHeight="1" x14ac:dyDescent="0.25"/>
    <row r="415" s="6" customFormat="1" ht="15.75" customHeight="1" x14ac:dyDescent="0.25"/>
    <row r="416" s="6" customFormat="1" ht="15.75" customHeight="1" x14ac:dyDescent="0.25"/>
    <row r="417" s="6" customFormat="1" ht="15.75" customHeight="1" x14ac:dyDescent="0.25"/>
    <row r="418" s="6" customFormat="1" ht="15.75" customHeight="1" x14ac:dyDescent="0.25"/>
    <row r="419" s="6" customFormat="1" ht="15.75" customHeight="1" x14ac:dyDescent="0.25"/>
    <row r="420" s="6" customFormat="1" ht="15.75" customHeight="1" x14ac:dyDescent="0.25"/>
    <row r="421" s="6" customFormat="1" ht="15.75" customHeight="1" x14ac:dyDescent="0.25"/>
    <row r="422" s="6" customFormat="1" ht="15.75" customHeight="1" x14ac:dyDescent="0.25"/>
    <row r="423" s="6" customFormat="1" ht="15.75" customHeight="1" x14ac:dyDescent="0.25"/>
    <row r="424" s="6" customFormat="1" ht="15.75" customHeight="1" x14ac:dyDescent="0.25"/>
    <row r="425" s="6" customFormat="1" ht="15.75" customHeight="1" x14ac:dyDescent="0.25"/>
    <row r="426" s="6" customFormat="1" ht="15.75" customHeight="1" x14ac:dyDescent="0.25"/>
    <row r="427" s="6" customFormat="1" ht="15.75" customHeight="1" x14ac:dyDescent="0.25"/>
    <row r="428" s="6" customFormat="1" ht="15.75" customHeight="1" x14ac:dyDescent="0.25"/>
    <row r="429" s="6" customFormat="1" ht="15.75" customHeight="1" x14ac:dyDescent="0.25"/>
    <row r="430" s="6" customFormat="1" ht="15.75" customHeight="1" x14ac:dyDescent="0.25"/>
    <row r="431" s="6" customFormat="1" ht="15.75" customHeight="1" x14ac:dyDescent="0.25"/>
    <row r="432" s="6" customFormat="1" ht="15.75" customHeight="1" x14ac:dyDescent="0.25"/>
    <row r="433" s="6" customFormat="1" ht="15.75" customHeight="1" x14ac:dyDescent="0.25"/>
    <row r="434" s="6" customFormat="1" ht="15.75" customHeight="1" x14ac:dyDescent="0.25"/>
    <row r="435" s="6" customFormat="1" ht="15.75" customHeight="1" x14ac:dyDescent="0.25"/>
    <row r="436" s="6" customFormat="1" ht="15.75" customHeight="1" x14ac:dyDescent="0.25"/>
    <row r="437" s="6" customFormat="1" ht="15.75" customHeight="1" x14ac:dyDescent="0.25"/>
    <row r="438" s="6" customFormat="1" ht="15.75" customHeight="1" x14ac:dyDescent="0.25"/>
    <row r="439" s="6" customFormat="1" ht="15.75" customHeight="1" x14ac:dyDescent="0.25"/>
    <row r="440" s="6" customFormat="1" ht="15.75" customHeight="1" x14ac:dyDescent="0.25"/>
    <row r="441" s="6" customFormat="1" ht="15.75" customHeight="1" x14ac:dyDescent="0.25"/>
    <row r="442" s="6" customFormat="1" ht="15.75" customHeight="1" x14ac:dyDescent="0.25"/>
    <row r="443" s="6" customFormat="1" ht="15.75" customHeight="1" x14ac:dyDescent="0.25"/>
    <row r="444" s="6" customFormat="1" ht="15.75" customHeight="1" x14ac:dyDescent="0.25"/>
    <row r="445" s="6" customFormat="1" ht="15.75" customHeight="1" x14ac:dyDescent="0.25"/>
    <row r="446" s="6" customFormat="1" ht="15.75" customHeight="1" x14ac:dyDescent="0.25"/>
    <row r="447" s="6" customFormat="1" ht="15.75" customHeight="1" x14ac:dyDescent="0.25"/>
    <row r="448" s="6" customFormat="1" ht="15.75" customHeight="1" x14ac:dyDescent="0.25"/>
    <row r="449" s="6" customFormat="1" ht="15.75" customHeight="1" x14ac:dyDescent="0.25"/>
    <row r="450" s="6" customFormat="1" ht="15.75" customHeight="1" x14ac:dyDescent="0.25"/>
    <row r="451" s="6" customFormat="1" ht="15.75" customHeight="1" x14ac:dyDescent="0.25"/>
    <row r="452" s="6" customFormat="1" ht="15.75" customHeight="1" x14ac:dyDescent="0.25"/>
    <row r="453" s="6" customFormat="1" ht="15.75" customHeight="1" x14ac:dyDescent="0.25"/>
    <row r="454" s="6" customFormat="1" ht="15.75" customHeight="1" x14ac:dyDescent="0.25"/>
    <row r="455" s="6" customFormat="1" ht="15.75" customHeight="1" x14ac:dyDescent="0.25"/>
    <row r="456" s="6" customFormat="1" ht="15.75" customHeight="1" x14ac:dyDescent="0.25"/>
    <row r="457" s="6" customFormat="1" ht="15.75" customHeight="1" x14ac:dyDescent="0.25"/>
    <row r="458" s="6" customFormat="1" ht="15.75" customHeight="1" x14ac:dyDescent="0.25"/>
    <row r="459" s="6" customFormat="1" ht="15.75" customHeight="1" x14ac:dyDescent="0.25"/>
    <row r="460" s="6" customFormat="1" ht="15.75" customHeight="1" x14ac:dyDescent="0.25"/>
    <row r="461" s="6" customFormat="1" ht="15.75" customHeight="1" x14ac:dyDescent="0.25"/>
    <row r="462" s="6" customFormat="1" ht="15.75" customHeight="1" x14ac:dyDescent="0.25"/>
    <row r="463" s="6" customFormat="1" ht="15.75" customHeight="1" x14ac:dyDescent="0.25"/>
    <row r="464" s="6" customFormat="1" ht="15.75" customHeight="1" x14ac:dyDescent="0.25"/>
    <row r="465" s="6" customFormat="1" ht="15.75" customHeight="1" x14ac:dyDescent="0.25"/>
    <row r="466" s="6" customFormat="1" ht="15.75" customHeight="1" x14ac:dyDescent="0.25"/>
    <row r="467" s="6" customFormat="1" ht="15.75" customHeight="1" x14ac:dyDescent="0.25"/>
    <row r="468" s="6" customFormat="1" ht="15.75" customHeight="1" x14ac:dyDescent="0.25"/>
    <row r="469" s="6" customFormat="1" ht="15.75" customHeight="1" x14ac:dyDescent="0.25"/>
    <row r="470" s="6" customFormat="1" ht="15.75" customHeight="1" x14ac:dyDescent="0.25"/>
    <row r="471" s="6" customFormat="1" ht="15.75" customHeight="1" x14ac:dyDescent="0.25"/>
    <row r="472" s="6" customFormat="1" ht="15.75" customHeight="1" x14ac:dyDescent="0.25"/>
    <row r="473" s="6" customFormat="1" ht="15.75" customHeight="1" x14ac:dyDescent="0.25"/>
    <row r="474" s="6" customFormat="1" ht="15.75" customHeight="1" x14ac:dyDescent="0.25"/>
    <row r="475" s="6" customFormat="1" ht="15.75" customHeight="1" x14ac:dyDescent="0.25"/>
    <row r="476" s="6" customFormat="1" ht="15.75" customHeight="1" x14ac:dyDescent="0.25"/>
    <row r="477" s="6" customFormat="1" ht="15.75" customHeight="1" x14ac:dyDescent="0.25"/>
    <row r="478" s="6" customFormat="1" ht="15.75" customHeight="1" x14ac:dyDescent="0.25"/>
    <row r="479" s="6" customFormat="1" ht="15.75" customHeight="1" x14ac:dyDescent="0.25"/>
    <row r="480" s="6" customFormat="1" ht="15.75" customHeight="1" x14ac:dyDescent="0.25"/>
    <row r="481" s="6" customFormat="1" ht="15.75" customHeight="1" x14ac:dyDescent="0.25"/>
    <row r="482" s="6" customFormat="1" ht="15.75" customHeight="1" x14ac:dyDescent="0.25"/>
    <row r="483" s="6" customFormat="1" ht="15.75" customHeight="1" x14ac:dyDescent="0.25"/>
    <row r="484" s="6" customFormat="1" ht="15.75" customHeight="1" x14ac:dyDescent="0.25"/>
    <row r="485" s="6" customFormat="1" ht="15.75" customHeight="1" x14ac:dyDescent="0.25"/>
    <row r="486" s="6" customFormat="1" ht="15.75" customHeight="1" x14ac:dyDescent="0.25"/>
    <row r="487" s="6" customFormat="1" ht="15.75" customHeight="1" x14ac:dyDescent="0.25"/>
    <row r="488" s="6" customFormat="1" ht="15.75" customHeight="1" x14ac:dyDescent="0.25"/>
    <row r="489" s="6" customFormat="1" ht="15.75" customHeight="1" x14ac:dyDescent="0.25"/>
    <row r="490" s="6" customFormat="1" ht="15.75" customHeight="1" x14ac:dyDescent="0.25"/>
    <row r="491" s="6" customFormat="1" ht="15.75" customHeight="1" x14ac:dyDescent="0.25"/>
    <row r="492" s="6" customFormat="1" ht="15.75" customHeight="1" x14ac:dyDescent="0.25"/>
    <row r="493" s="6" customFormat="1" ht="15.75" customHeight="1" x14ac:dyDescent="0.25"/>
    <row r="494" s="6" customFormat="1" ht="15.75" customHeight="1" x14ac:dyDescent="0.25"/>
    <row r="495" s="6" customFormat="1" ht="15.75" customHeight="1" x14ac:dyDescent="0.25"/>
    <row r="496" s="6" customFormat="1" ht="15.75" customHeight="1" x14ac:dyDescent="0.25"/>
    <row r="497" s="6" customFormat="1" ht="15.75" customHeight="1" x14ac:dyDescent="0.25"/>
    <row r="498" s="6" customFormat="1" ht="15.75" customHeight="1" x14ac:dyDescent="0.25"/>
    <row r="499" s="6" customFormat="1" ht="15.75" customHeight="1" x14ac:dyDescent="0.25"/>
    <row r="500" s="6" customFormat="1" ht="15.75" customHeight="1" x14ac:dyDescent="0.25"/>
    <row r="501" s="6" customFormat="1" ht="15.75" customHeight="1" x14ac:dyDescent="0.25"/>
    <row r="502" s="6" customFormat="1" ht="15.75" customHeight="1" x14ac:dyDescent="0.25"/>
    <row r="503" s="6" customFormat="1" ht="15.75" customHeight="1" x14ac:dyDescent="0.25"/>
    <row r="504" s="6" customFormat="1" ht="15.75" customHeight="1" x14ac:dyDescent="0.25"/>
    <row r="505" s="6" customFormat="1" ht="15.75" customHeight="1" x14ac:dyDescent="0.25"/>
    <row r="506" s="6" customFormat="1" ht="15.75" customHeight="1" x14ac:dyDescent="0.25"/>
    <row r="507" s="6" customFormat="1" ht="15.75" customHeight="1" x14ac:dyDescent="0.25"/>
    <row r="508" s="6" customFormat="1" ht="15.75" customHeight="1" x14ac:dyDescent="0.25"/>
    <row r="509" s="6" customFormat="1" ht="15.75" customHeight="1" x14ac:dyDescent="0.25"/>
    <row r="510" s="6" customFormat="1" ht="15.75" customHeight="1" x14ac:dyDescent="0.25"/>
    <row r="511" s="6" customFormat="1" ht="15.75" customHeight="1" x14ac:dyDescent="0.25"/>
    <row r="512" s="6" customFormat="1" ht="15.75" customHeight="1" x14ac:dyDescent="0.25"/>
    <row r="513" s="6" customFormat="1" ht="15.75" customHeight="1" x14ac:dyDescent="0.25"/>
    <row r="514" s="6" customFormat="1" ht="15.75" customHeight="1" x14ac:dyDescent="0.25"/>
    <row r="515" s="6" customFormat="1" ht="15.75" customHeight="1" x14ac:dyDescent="0.25"/>
    <row r="516" s="6" customFormat="1" ht="15.75" customHeight="1" x14ac:dyDescent="0.25"/>
    <row r="517" s="6" customFormat="1" ht="15.75" customHeight="1" x14ac:dyDescent="0.25"/>
    <row r="518" s="6" customFormat="1" ht="15.75" customHeight="1" x14ac:dyDescent="0.25"/>
    <row r="519" s="6" customFormat="1" ht="15.75" customHeight="1" x14ac:dyDescent="0.25"/>
    <row r="520" s="6" customFormat="1" ht="15.75" customHeight="1" x14ac:dyDescent="0.25"/>
    <row r="521" s="6" customFormat="1" ht="15.75" customHeight="1" x14ac:dyDescent="0.25"/>
    <row r="522" s="6" customFormat="1" ht="15.75" customHeight="1" x14ac:dyDescent="0.25"/>
    <row r="523" s="6" customFormat="1" ht="15.75" customHeight="1" x14ac:dyDescent="0.25"/>
    <row r="524" s="6" customFormat="1" ht="15.75" customHeight="1" x14ac:dyDescent="0.25"/>
    <row r="525" s="6" customFormat="1" ht="15.75" customHeight="1" x14ac:dyDescent="0.25"/>
    <row r="526" s="6" customFormat="1" ht="15.75" customHeight="1" x14ac:dyDescent="0.25"/>
    <row r="527" s="6" customFormat="1" ht="15.75" customHeight="1" x14ac:dyDescent="0.25"/>
    <row r="528" s="6" customFormat="1" ht="15.75" customHeight="1" x14ac:dyDescent="0.25"/>
    <row r="529" s="6" customFormat="1" ht="15.75" customHeight="1" x14ac:dyDescent="0.25"/>
    <row r="530" s="6" customFormat="1" ht="15.75" customHeight="1" x14ac:dyDescent="0.25"/>
    <row r="531" s="6" customFormat="1" ht="15.75" customHeight="1" x14ac:dyDescent="0.25"/>
    <row r="532" s="6" customFormat="1" ht="15.75" customHeight="1" x14ac:dyDescent="0.25"/>
    <row r="533" s="6" customFormat="1" ht="15.75" customHeight="1" x14ac:dyDescent="0.25"/>
    <row r="534" s="6" customFormat="1" ht="15.75" customHeight="1" x14ac:dyDescent="0.25"/>
    <row r="535" s="6" customFormat="1" ht="15.75" customHeight="1" x14ac:dyDescent="0.25"/>
    <row r="536" s="6" customFormat="1" ht="15.75" customHeight="1" x14ac:dyDescent="0.25"/>
    <row r="537" s="6" customFormat="1" ht="15.75" customHeight="1" x14ac:dyDescent="0.25"/>
    <row r="538" s="6" customFormat="1" ht="15.75" customHeight="1" x14ac:dyDescent="0.25"/>
    <row r="539" s="6" customFormat="1" ht="15.75" customHeight="1" x14ac:dyDescent="0.25"/>
    <row r="540" s="6" customFormat="1" ht="15.75" customHeight="1" x14ac:dyDescent="0.25"/>
    <row r="541" s="6" customFormat="1" ht="15.75" customHeight="1" x14ac:dyDescent="0.25"/>
    <row r="542" s="6" customFormat="1" ht="15.75" customHeight="1" x14ac:dyDescent="0.25"/>
    <row r="543" s="6" customFormat="1" ht="15.75" customHeight="1" x14ac:dyDescent="0.25"/>
    <row r="544" s="6" customFormat="1" ht="15.75" customHeight="1" x14ac:dyDescent="0.25"/>
    <row r="545" s="6" customFormat="1" ht="15.75" customHeight="1" x14ac:dyDescent="0.25"/>
    <row r="546" s="6" customFormat="1" ht="15.75" customHeight="1" x14ac:dyDescent="0.25"/>
    <row r="547" s="6" customFormat="1" ht="15.75" customHeight="1" x14ac:dyDescent="0.25"/>
    <row r="548" s="6" customFormat="1" ht="15.75" customHeight="1" x14ac:dyDescent="0.25"/>
    <row r="549" s="6" customFormat="1" ht="15.75" customHeight="1" x14ac:dyDescent="0.25"/>
    <row r="550" s="6" customFormat="1" ht="15.75" customHeight="1" x14ac:dyDescent="0.25"/>
    <row r="551" s="6" customFormat="1" ht="15.75" customHeight="1" x14ac:dyDescent="0.25"/>
    <row r="552" s="6" customFormat="1" ht="15.75" customHeight="1" x14ac:dyDescent="0.25"/>
    <row r="553" s="6" customFormat="1" ht="15.75" customHeight="1" x14ac:dyDescent="0.25"/>
    <row r="554" s="6" customFormat="1" ht="15.75" customHeight="1" x14ac:dyDescent="0.25"/>
    <row r="555" s="6" customFormat="1" ht="15.75" customHeight="1" x14ac:dyDescent="0.25"/>
    <row r="556" s="6" customFormat="1" ht="15.75" customHeight="1" x14ac:dyDescent="0.25"/>
    <row r="557" s="6" customFormat="1" ht="15.75" customHeight="1" x14ac:dyDescent="0.25"/>
    <row r="558" s="6" customFormat="1" ht="15.75" customHeight="1" x14ac:dyDescent="0.25"/>
    <row r="559" s="6" customFormat="1" ht="15.75" customHeight="1" x14ac:dyDescent="0.25"/>
    <row r="560" s="6" customFormat="1" ht="15.75" customHeight="1" x14ac:dyDescent="0.25"/>
    <row r="561" s="6" customFormat="1" ht="15.75" customHeight="1" x14ac:dyDescent="0.25"/>
    <row r="562" s="6" customFormat="1" ht="15.75" customHeight="1" x14ac:dyDescent="0.25"/>
    <row r="563" s="6" customFormat="1" ht="15.75" customHeight="1" x14ac:dyDescent="0.25"/>
    <row r="564" s="6" customFormat="1" ht="15.75" customHeight="1" x14ac:dyDescent="0.25"/>
    <row r="565" s="6" customFormat="1" ht="15.75" customHeight="1" x14ac:dyDescent="0.25"/>
    <row r="566" s="6" customFormat="1" ht="15.75" customHeight="1" x14ac:dyDescent="0.25"/>
    <row r="567" s="6" customFormat="1" ht="15.75" customHeight="1" x14ac:dyDescent="0.25"/>
    <row r="568" s="6" customFormat="1" ht="15.75" customHeight="1" x14ac:dyDescent="0.25"/>
    <row r="569" s="6" customFormat="1" ht="15.75" customHeight="1" x14ac:dyDescent="0.25"/>
    <row r="570" s="6" customFormat="1" ht="15.75" customHeight="1" x14ac:dyDescent="0.25"/>
    <row r="571" s="6" customFormat="1" ht="15.75" customHeight="1" x14ac:dyDescent="0.25"/>
    <row r="572" s="6" customFormat="1" ht="15.75" customHeight="1" x14ac:dyDescent="0.25"/>
    <row r="573" s="6" customFormat="1" ht="15.75" customHeight="1" x14ac:dyDescent="0.25"/>
    <row r="574" s="6" customFormat="1" ht="15.75" customHeight="1" x14ac:dyDescent="0.25"/>
    <row r="575" s="6" customFormat="1" ht="15.75" customHeight="1" x14ac:dyDescent="0.25"/>
    <row r="576" s="6" customFormat="1" ht="15.75" customHeight="1" x14ac:dyDescent="0.25"/>
    <row r="577" s="6" customFormat="1" ht="15.75" customHeight="1" x14ac:dyDescent="0.25"/>
    <row r="578" s="6" customFormat="1" ht="15.75" customHeight="1" x14ac:dyDescent="0.25"/>
    <row r="579" s="6" customFormat="1" ht="15.75" customHeight="1" x14ac:dyDescent="0.25"/>
    <row r="580" s="6" customFormat="1" ht="15.75" customHeight="1" x14ac:dyDescent="0.25"/>
    <row r="581" s="6" customFormat="1" ht="15.75" customHeight="1" x14ac:dyDescent="0.25"/>
    <row r="582" s="6" customFormat="1" ht="15.75" customHeight="1" x14ac:dyDescent="0.25"/>
    <row r="583" s="6" customFormat="1" ht="15.75" customHeight="1" x14ac:dyDescent="0.25"/>
    <row r="584" s="6" customFormat="1" ht="15.75" customHeight="1" x14ac:dyDescent="0.25"/>
    <row r="585" s="6" customFormat="1" ht="15.75" customHeight="1" x14ac:dyDescent="0.25"/>
    <row r="586" s="6" customFormat="1" ht="15.75" customHeight="1" x14ac:dyDescent="0.25"/>
    <row r="587" s="6" customFormat="1" ht="15.75" customHeight="1" x14ac:dyDescent="0.25"/>
    <row r="588" s="6" customFormat="1" ht="15.75" customHeight="1" x14ac:dyDescent="0.25"/>
    <row r="589" s="6" customFormat="1" ht="15.75" customHeight="1" x14ac:dyDescent="0.25"/>
    <row r="590" s="6" customFormat="1" ht="15.75" customHeight="1" x14ac:dyDescent="0.25"/>
    <row r="591" s="6" customFormat="1" ht="15.75" customHeight="1" x14ac:dyDescent="0.25"/>
    <row r="592" s="6" customFormat="1" ht="15.75" customHeight="1" x14ac:dyDescent="0.25"/>
    <row r="593" s="6" customFormat="1" ht="15.75" customHeight="1" x14ac:dyDescent="0.25"/>
    <row r="594" s="6" customFormat="1" ht="15.75" customHeight="1" x14ac:dyDescent="0.25"/>
    <row r="595" s="6" customFormat="1" ht="15.75" customHeight="1" x14ac:dyDescent="0.25"/>
    <row r="596" s="6" customFormat="1" ht="15.75" customHeight="1" x14ac:dyDescent="0.25"/>
    <row r="597" s="6" customFormat="1" ht="15.75" customHeight="1" x14ac:dyDescent="0.25"/>
    <row r="598" s="6" customFormat="1" ht="15.75" customHeight="1" x14ac:dyDescent="0.25"/>
    <row r="599" s="6" customFormat="1" ht="15.75" customHeight="1" x14ac:dyDescent="0.25"/>
    <row r="600" s="6" customFormat="1" ht="15.75" customHeight="1" x14ac:dyDescent="0.25"/>
    <row r="601" s="6" customFormat="1" ht="15.75" customHeight="1" x14ac:dyDescent="0.25"/>
    <row r="602" s="6" customFormat="1" ht="15.75" customHeight="1" x14ac:dyDescent="0.25"/>
    <row r="603" s="6" customFormat="1" ht="15.75" customHeight="1" x14ac:dyDescent="0.25"/>
    <row r="604" s="6" customFormat="1" ht="15.75" customHeight="1" x14ac:dyDescent="0.25"/>
    <row r="605" s="6" customFormat="1" ht="15.75" customHeight="1" x14ac:dyDescent="0.25"/>
    <row r="606" s="6" customFormat="1" ht="15.75" customHeight="1" x14ac:dyDescent="0.25"/>
    <row r="607" s="6" customFormat="1" ht="15.75" customHeight="1" x14ac:dyDescent="0.25"/>
    <row r="608" s="6" customFormat="1" ht="15.75" customHeight="1" x14ac:dyDescent="0.25"/>
    <row r="609" s="6" customFormat="1" ht="15.75" customHeight="1" x14ac:dyDescent="0.25"/>
    <row r="610" s="6" customFormat="1" ht="15.75" customHeight="1" x14ac:dyDescent="0.25"/>
    <row r="611" s="6" customFormat="1" ht="15.75" customHeight="1" x14ac:dyDescent="0.25"/>
    <row r="612" s="6" customFormat="1" ht="15.75" customHeight="1" x14ac:dyDescent="0.25"/>
    <row r="613" s="6" customFormat="1" ht="15.75" customHeight="1" x14ac:dyDescent="0.25"/>
    <row r="614" s="6" customFormat="1" ht="15.75" customHeight="1" x14ac:dyDescent="0.25"/>
    <row r="615" s="6" customFormat="1" ht="15.75" customHeight="1" x14ac:dyDescent="0.25"/>
    <row r="616" s="6" customFormat="1" ht="15.75" customHeight="1" x14ac:dyDescent="0.25"/>
    <row r="617" s="6" customFormat="1" ht="15.75" customHeight="1" x14ac:dyDescent="0.25"/>
    <row r="618" s="6" customFormat="1" ht="15.75" customHeight="1" x14ac:dyDescent="0.25"/>
    <row r="619" s="6" customFormat="1" ht="15.75" customHeight="1" x14ac:dyDescent="0.25"/>
    <row r="620" s="6" customFormat="1" ht="15.75" customHeight="1" x14ac:dyDescent="0.25"/>
    <row r="621" s="6" customFormat="1" ht="15.75" customHeight="1" x14ac:dyDescent="0.25"/>
    <row r="622" s="6" customFormat="1" ht="15.75" customHeight="1" x14ac:dyDescent="0.25"/>
    <row r="623" s="6" customFormat="1" ht="15.75" customHeight="1" x14ac:dyDescent="0.25"/>
    <row r="624" s="6" customFormat="1" ht="15.75" customHeight="1" x14ac:dyDescent="0.25"/>
    <row r="625" s="6" customFormat="1" ht="15.75" customHeight="1" x14ac:dyDescent="0.25"/>
    <row r="626" s="6" customFormat="1" ht="15.75" customHeight="1" x14ac:dyDescent="0.25"/>
    <row r="627" s="6" customFormat="1" ht="15.75" customHeight="1" x14ac:dyDescent="0.25"/>
    <row r="628" s="6" customFormat="1" ht="15.75" customHeight="1" x14ac:dyDescent="0.25"/>
    <row r="629" s="6" customFormat="1" ht="15.75" customHeight="1" x14ac:dyDescent="0.25"/>
    <row r="630" s="6" customFormat="1" ht="15.75" customHeight="1" x14ac:dyDescent="0.25"/>
    <row r="631" s="6" customFormat="1" ht="15.75" customHeight="1" x14ac:dyDescent="0.25"/>
    <row r="632" s="6" customFormat="1" ht="15.75" customHeight="1" x14ac:dyDescent="0.25"/>
    <row r="633" s="6" customFormat="1" ht="15.75" customHeight="1" x14ac:dyDescent="0.25"/>
    <row r="634" s="6" customFormat="1" ht="15.75" customHeight="1" x14ac:dyDescent="0.25"/>
    <row r="635" s="6" customFormat="1" ht="15.75" customHeight="1" x14ac:dyDescent="0.25"/>
    <row r="636" s="6" customFormat="1" ht="15.75" customHeight="1" x14ac:dyDescent="0.25"/>
    <row r="637" s="6" customFormat="1" ht="15.75" customHeight="1" x14ac:dyDescent="0.25"/>
    <row r="638" s="6" customFormat="1" ht="15.75" customHeight="1" x14ac:dyDescent="0.25"/>
    <row r="639" s="6" customFormat="1" ht="15.75" customHeight="1" x14ac:dyDescent="0.25"/>
    <row r="640" s="6" customFormat="1" ht="15.75" customHeight="1" x14ac:dyDescent="0.25"/>
    <row r="641" s="6" customFormat="1" ht="15.75" customHeight="1" x14ac:dyDescent="0.25"/>
    <row r="642" s="6" customFormat="1" ht="15.75" customHeight="1" x14ac:dyDescent="0.25"/>
    <row r="643" s="6" customFormat="1" ht="15.75" customHeight="1" x14ac:dyDescent="0.25"/>
    <row r="644" s="6" customFormat="1" ht="15.75" customHeight="1" x14ac:dyDescent="0.25"/>
    <row r="645" s="6" customFormat="1" ht="15.75" customHeight="1" x14ac:dyDescent="0.25"/>
    <row r="646" s="6" customFormat="1" ht="15.75" customHeight="1" x14ac:dyDescent="0.25"/>
    <row r="647" s="6" customFormat="1" ht="15.75" customHeight="1" x14ac:dyDescent="0.25"/>
    <row r="648" s="6" customFormat="1" ht="15.75" customHeight="1" x14ac:dyDescent="0.25"/>
    <row r="649" s="6" customFormat="1" ht="15.75" customHeight="1" x14ac:dyDescent="0.25"/>
    <row r="650" s="6" customFormat="1" ht="15.75" customHeight="1" x14ac:dyDescent="0.25"/>
    <row r="651" s="6" customFormat="1" ht="15.75" customHeight="1" x14ac:dyDescent="0.25"/>
    <row r="652" s="6" customFormat="1" ht="15.75" customHeight="1" x14ac:dyDescent="0.25"/>
    <row r="653" s="6" customFormat="1" ht="15.75" customHeight="1" x14ac:dyDescent="0.25"/>
    <row r="654" s="6" customFormat="1" ht="15.75" customHeight="1" x14ac:dyDescent="0.25"/>
    <row r="655" s="6" customFormat="1" ht="15.75" customHeight="1" x14ac:dyDescent="0.25"/>
    <row r="656" s="6" customFormat="1" ht="15.75" customHeight="1" x14ac:dyDescent="0.25"/>
    <row r="657" s="6" customFormat="1" ht="15.75" customHeight="1" x14ac:dyDescent="0.25"/>
    <row r="658" s="6" customFormat="1" ht="15.75" customHeight="1" x14ac:dyDescent="0.25"/>
    <row r="659" s="6" customFormat="1" ht="15.75" customHeight="1" x14ac:dyDescent="0.25"/>
    <row r="660" s="6" customFormat="1" ht="15.75" customHeight="1" x14ac:dyDescent="0.25"/>
    <row r="661" s="6" customFormat="1" ht="15.75" customHeight="1" x14ac:dyDescent="0.25"/>
    <row r="662" s="6" customFormat="1" ht="15.75" customHeight="1" x14ac:dyDescent="0.25"/>
    <row r="663" s="6" customFormat="1" ht="15.75" customHeight="1" x14ac:dyDescent="0.25"/>
    <row r="664" s="6" customFormat="1" ht="15.75" customHeight="1" x14ac:dyDescent="0.25"/>
    <row r="665" s="6" customFormat="1" ht="15.75" customHeight="1" x14ac:dyDescent="0.25"/>
    <row r="666" s="6" customFormat="1" ht="15.75" customHeight="1" x14ac:dyDescent="0.25"/>
    <row r="667" s="6" customFormat="1" ht="15.75" customHeight="1" x14ac:dyDescent="0.25"/>
    <row r="668" s="6" customFormat="1" ht="15.75" customHeight="1" x14ac:dyDescent="0.25"/>
    <row r="669" s="6" customFormat="1" ht="15.75" customHeight="1" x14ac:dyDescent="0.25"/>
    <row r="670" s="6" customFormat="1" ht="15.75" customHeight="1" x14ac:dyDescent="0.25"/>
    <row r="671" s="6" customFormat="1" ht="15.75" customHeight="1" x14ac:dyDescent="0.25"/>
    <row r="672" s="6" customFormat="1" ht="15.75" customHeight="1" x14ac:dyDescent="0.25"/>
    <row r="673" s="6" customFormat="1" ht="15.75" customHeight="1" x14ac:dyDescent="0.25"/>
    <row r="674" s="6" customFormat="1" ht="15.75" customHeight="1" x14ac:dyDescent="0.25"/>
    <row r="675" s="6" customFormat="1" ht="15.75" customHeight="1" x14ac:dyDescent="0.25"/>
    <row r="676" s="6" customFormat="1" ht="15.75" customHeight="1" x14ac:dyDescent="0.25"/>
    <row r="677" s="6" customFormat="1" ht="15.75" customHeight="1" x14ac:dyDescent="0.25"/>
    <row r="678" s="6" customFormat="1" ht="15.75" customHeight="1" x14ac:dyDescent="0.25"/>
    <row r="679" s="6" customFormat="1" ht="15.75" customHeight="1" x14ac:dyDescent="0.25"/>
    <row r="680" s="6" customFormat="1" ht="15.75" customHeight="1" x14ac:dyDescent="0.25"/>
    <row r="681" s="6" customFormat="1" ht="15.75" customHeight="1" x14ac:dyDescent="0.25"/>
    <row r="682" s="6" customFormat="1" ht="15.75" customHeight="1" x14ac:dyDescent="0.25"/>
    <row r="683" s="6" customFormat="1" ht="15.75" customHeight="1" x14ac:dyDescent="0.25"/>
    <row r="684" s="6" customFormat="1" ht="15.75" customHeight="1" x14ac:dyDescent="0.25"/>
    <row r="685" s="6" customFormat="1" ht="15.75" customHeight="1" x14ac:dyDescent="0.25"/>
    <row r="686" s="6" customFormat="1" ht="15.75" customHeight="1" x14ac:dyDescent="0.25"/>
    <row r="687" s="6" customFormat="1" ht="15.75" customHeight="1" x14ac:dyDescent="0.25"/>
    <row r="688" s="6" customFormat="1" ht="15.75" customHeight="1" x14ac:dyDescent="0.25"/>
    <row r="689" s="6" customFormat="1" ht="15.75" customHeight="1" x14ac:dyDescent="0.25"/>
    <row r="690" s="6" customFormat="1" ht="15.75" customHeight="1" x14ac:dyDescent="0.25"/>
    <row r="691" s="6" customFormat="1" ht="15.75" customHeight="1" x14ac:dyDescent="0.25"/>
    <row r="692" s="6" customFormat="1" ht="15.75" customHeight="1" x14ac:dyDescent="0.25"/>
    <row r="693" s="6" customFormat="1" ht="15.75" customHeight="1" x14ac:dyDescent="0.25"/>
    <row r="694" s="6" customFormat="1" ht="15.75" customHeight="1" x14ac:dyDescent="0.25"/>
    <row r="695" s="6" customFormat="1" ht="15.75" customHeight="1" x14ac:dyDescent="0.25"/>
    <row r="696" s="6" customFormat="1" ht="15.75" customHeight="1" x14ac:dyDescent="0.25"/>
    <row r="697" s="6" customFormat="1" ht="15.75" customHeight="1" x14ac:dyDescent="0.25"/>
    <row r="698" s="6" customFormat="1" ht="15.75" customHeight="1" x14ac:dyDescent="0.25"/>
    <row r="699" s="6" customFormat="1" ht="15.75" customHeight="1" x14ac:dyDescent="0.25"/>
    <row r="700" s="6" customFormat="1" ht="15.75" customHeight="1" x14ac:dyDescent="0.25"/>
    <row r="701" s="6" customFormat="1" ht="15.75" customHeight="1" x14ac:dyDescent="0.25"/>
    <row r="702" s="6" customFormat="1" ht="15.75" customHeight="1" x14ac:dyDescent="0.25"/>
    <row r="703" s="6" customFormat="1" ht="15.75" customHeight="1" x14ac:dyDescent="0.25"/>
    <row r="704" s="6" customFormat="1" ht="15.75" customHeight="1" x14ac:dyDescent="0.25"/>
    <row r="705" s="6" customFormat="1" ht="15.75" customHeight="1" x14ac:dyDescent="0.25"/>
    <row r="706" s="6" customFormat="1" ht="15.75" customHeight="1" x14ac:dyDescent="0.25"/>
    <row r="707" s="6" customFormat="1" ht="15.75" customHeight="1" x14ac:dyDescent="0.25"/>
    <row r="708" s="6" customFormat="1" ht="15.75" customHeight="1" x14ac:dyDescent="0.25"/>
    <row r="709" s="6" customFormat="1" ht="15.75" customHeight="1" x14ac:dyDescent="0.25"/>
    <row r="710" s="6" customFormat="1" ht="15.75" customHeight="1" x14ac:dyDescent="0.25"/>
    <row r="711" s="6" customFormat="1" ht="15.75" customHeight="1" x14ac:dyDescent="0.25"/>
    <row r="712" s="6" customFormat="1" ht="15.75" customHeight="1" x14ac:dyDescent="0.25"/>
    <row r="713" s="6" customFormat="1" ht="15.75" customHeight="1" x14ac:dyDescent="0.25"/>
    <row r="714" s="6" customFormat="1" ht="15.75" customHeight="1" x14ac:dyDescent="0.25"/>
    <row r="715" s="6" customFormat="1" ht="15.75" customHeight="1" x14ac:dyDescent="0.25"/>
    <row r="716" s="6" customFormat="1" ht="15.75" customHeight="1" x14ac:dyDescent="0.25"/>
    <row r="717" s="6" customFormat="1" ht="15.75" customHeight="1" x14ac:dyDescent="0.25"/>
    <row r="718" s="6" customFormat="1" ht="15.75" customHeight="1" x14ac:dyDescent="0.25"/>
    <row r="719" s="6" customFormat="1" ht="15.75" customHeight="1" x14ac:dyDescent="0.25"/>
    <row r="720" s="6" customFormat="1" ht="15.75" customHeight="1" x14ac:dyDescent="0.25"/>
    <row r="721" s="6" customFormat="1" ht="15.75" customHeight="1" x14ac:dyDescent="0.25"/>
    <row r="722" s="6" customFormat="1" ht="15.75" customHeight="1" x14ac:dyDescent="0.25"/>
    <row r="723" s="6" customFormat="1" ht="15.75" customHeight="1" x14ac:dyDescent="0.25"/>
    <row r="724" s="6" customFormat="1" ht="15.75" customHeight="1" x14ac:dyDescent="0.25"/>
    <row r="725" s="6" customFormat="1" ht="15.75" customHeight="1" x14ac:dyDescent="0.25"/>
    <row r="726" s="6" customFormat="1" ht="15.75" customHeight="1" x14ac:dyDescent="0.25"/>
    <row r="727" s="6" customFormat="1" ht="15.75" customHeight="1" x14ac:dyDescent="0.25"/>
    <row r="728" s="6" customFormat="1" ht="15.75" customHeight="1" x14ac:dyDescent="0.25"/>
    <row r="729" s="6" customFormat="1" ht="15.75" customHeight="1" x14ac:dyDescent="0.25"/>
    <row r="730" s="6" customFormat="1" ht="15.75" customHeight="1" x14ac:dyDescent="0.25"/>
    <row r="731" s="6" customFormat="1" ht="15.75" customHeight="1" x14ac:dyDescent="0.25"/>
    <row r="732" s="6" customFormat="1" ht="15.75" customHeight="1" x14ac:dyDescent="0.25"/>
    <row r="733" s="6" customFormat="1" ht="15.75" customHeight="1" x14ac:dyDescent="0.25"/>
    <row r="734" s="6" customFormat="1" ht="15.75" customHeight="1" x14ac:dyDescent="0.25"/>
    <row r="735" s="6" customFormat="1" ht="15.75" customHeight="1" x14ac:dyDescent="0.25"/>
    <row r="736" s="6" customFormat="1" ht="15.75" customHeight="1" x14ac:dyDescent="0.25"/>
    <row r="737" s="6" customFormat="1" ht="15.75" customHeight="1" x14ac:dyDescent="0.25"/>
    <row r="738" s="6" customFormat="1" ht="15.75" customHeight="1" x14ac:dyDescent="0.25"/>
    <row r="739" s="6" customFormat="1" ht="15.75" customHeight="1" x14ac:dyDescent="0.25"/>
    <row r="740" s="6" customFormat="1" ht="15.75" customHeight="1" x14ac:dyDescent="0.25"/>
    <row r="741" s="6" customFormat="1" ht="15.75" customHeight="1" x14ac:dyDescent="0.25"/>
    <row r="742" s="6" customFormat="1" ht="15.75" customHeight="1" x14ac:dyDescent="0.25"/>
    <row r="743" s="6" customFormat="1" ht="15.75" customHeight="1" x14ac:dyDescent="0.25"/>
    <row r="744" s="6" customFormat="1" ht="15.75" customHeight="1" x14ac:dyDescent="0.25"/>
    <row r="745" s="6" customFormat="1" ht="15.75" customHeight="1" x14ac:dyDescent="0.25"/>
    <row r="746" s="6" customFormat="1" ht="15.75" customHeight="1" x14ac:dyDescent="0.25"/>
    <row r="747" s="6" customFormat="1" ht="15.75" customHeight="1" x14ac:dyDescent="0.25"/>
    <row r="748" s="6" customFormat="1" ht="15.75" customHeight="1" x14ac:dyDescent="0.25"/>
    <row r="749" s="6" customFormat="1" ht="15.75" customHeight="1" x14ac:dyDescent="0.25"/>
    <row r="750" s="6" customFormat="1" ht="15.75" customHeight="1" x14ac:dyDescent="0.25"/>
    <row r="751" s="6" customFormat="1" ht="15.75" customHeight="1" x14ac:dyDescent="0.25"/>
    <row r="752" s="6" customFormat="1" ht="15.75" customHeight="1" x14ac:dyDescent="0.25"/>
    <row r="753" s="6" customFormat="1" ht="15.75" customHeight="1" x14ac:dyDescent="0.25"/>
    <row r="754" s="6" customFormat="1" ht="15.75" customHeight="1" x14ac:dyDescent="0.25"/>
    <row r="755" s="6" customFormat="1" ht="15.75" customHeight="1" x14ac:dyDescent="0.25"/>
    <row r="756" s="6" customFormat="1" ht="15.75" customHeight="1" x14ac:dyDescent="0.25"/>
    <row r="757" s="6" customFormat="1" ht="15.75" customHeight="1" x14ac:dyDescent="0.25"/>
    <row r="758" s="6" customFormat="1" ht="15.75" customHeight="1" x14ac:dyDescent="0.25"/>
    <row r="759" s="6" customFormat="1" ht="15.75" customHeight="1" x14ac:dyDescent="0.25"/>
    <row r="760" s="6" customFormat="1" ht="15.75" customHeight="1" x14ac:dyDescent="0.25"/>
    <row r="761" s="6" customFormat="1" ht="15.75" customHeight="1" x14ac:dyDescent="0.25"/>
    <row r="762" s="6" customFormat="1" ht="15.75" customHeight="1" x14ac:dyDescent="0.25"/>
    <row r="763" s="6" customFormat="1" ht="15.75" customHeight="1" x14ac:dyDescent="0.25"/>
    <row r="764" s="6" customFormat="1" ht="15.75" customHeight="1" x14ac:dyDescent="0.25"/>
    <row r="765" s="6" customFormat="1" ht="15.75" customHeight="1" x14ac:dyDescent="0.25"/>
    <row r="766" s="6" customFormat="1" ht="15.75" customHeight="1" x14ac:dyDescent="0.25"/>
    <row r="767" s="6" customFormat="1" ht="15.75" customHeight="1" x14ac:dyDescent="0.25"/>
    <row r="768" s="6" customFormat="1" ht="15.75" customHeight="1" x14ac:dyDescent="0.25"/>
    <row r="769" s="6" customFormat="1" ht="15.75" customHeight="1" x14ac:dyDescent="0.25"/>
    <row r="770" s="6" customFormat="1" ht="15.75" customHeight="1" x14ac:dyDescent="0.25"/>
    <row r="771" s="6" customFormat="1" ht="15.75" customHeight="1" x14ac:dyDescent="0.25"/>
    <row r="772" s="6" customFormat="1" ht="15.75" customHeight="1" x14ac:dyDescent="0.25"/>
    <row r="773" s="6" customFormat="1" ht="15.75" customHeight="1" x14ac:dyDescent="0.25"/>
    <row r="774" s="6" customFormat="1" ht="15.75" customHeight="1" x14ac:dyDescent="0.25"/>
    <row r="775" s="6" customFormat="1" ht="15.75" customHeight="1" x14ac:dyDescent="0.25"/>
    <row r="776" s="6" customFormat="1" ht="15.75" customHeight="1" x14ac:dyDescent="0.25"/>
    <row r="777" s="6" customFormat="1" ht="15.75" customHeight="1" x14ac:dyDescent="0.25"/>
    <row r="778" s="6" customFormat="1" ht="15.75" customHeight="1" x14ac:dyDescent="0.25"/>
    <row r="779" s="6" customFormat="1" ht="15.75" customHeight="1" x14ac:dyDescent="0.25"/>
    <row r="780" s="6" customFormat="1" ht="15.75" customHeight="1" x14ac:dyDescent="0.25"/>
    <row r="781" s="6" customFormat="1" ht="15.75" customHeight="1" x14ac:dyDescent="0.25"/>
    <row r="782" s="6" customFormat="1" ht="15.75" customHeight="1" x14ac:dyDescent="0.25"/>
    <row r="783" s="6" customFormat="1" ht="15.75" customHeight="1" x14ac:dyDescent="0.25"/>
    <row r="784" s="6" customFormat="1" ht="15.75" customHeight="1" x14ac:dyDescent="0.25"/>
    <row r="785" s="6" customFormat="1" ht="15.75" customHeight="1" x14ac:dyDescent="0.25"/>
    <row r="786" s="6" customFormat="1" ht="15.75" customHeight="1" x14ac:dyDescent="0.25"/>
    <row r="787" s="6" customFormat="1" ht="15.75" customHeight="1" x14ac:dyDescent="0.25"/>
    <row r="788" s="6" customFormat="1" ht="15.75" customHeight="1" x14ac:dyDescent="0.25"/>
    <row r="789" s="6" customFormat="1" ht="15.75" customHeight="1" x14ac:dyDescent="0.25"/>
    <row r="790" s="6" customFormat="1" ht="15.75" customHeight="1" x14ac:dyDescent="0.25"/>
    <row r="791" s="6" customFormat="1" ht="15.75" customHeight="1" x14ac:dyDescent="0.25"/>
    <row r="792" s="6" customFormat="1" ht="15.75" customHeight="1" x14ac:dyDescent="0.25"/>
    <row r="793" s="6" customFormat="1" ht="15.75" customHeight="1" x14ac:dyDescent="0.25"/>
    <row r="794" s="6" customFormat="1" ht="15.75" customHeight="1" x14ac:dyDescent="0.25"/>
    <row r="795" s="6" customFormat="1" ht="15.75" customHeight="1" x14ac:dyDescent="0.25"/>
    <row r="796" s="6" customFormat="1" ht="15.75" customHeight="1" x14ac:dyDescent="0.25"/>
    <row r="797" s="6" customFormat="1" ht="15.75" customHeight="1" x14ac:dyDescent="0.25"/>
    <row r="798" s="6" customFormat="1" ht="15.75" customHeight="1" x14ac:dyDescent="0.25"/>
    <row r="799" s="6" customFormat="1" ht="15.75" customHeight="1" x14ac:dyDescent="0.25"/>
    <row r="800" s="6" customFormat="1" ht="15.75" customHeight="1" x14ac:dyDescent="0.25"/>
    <row r="801" s="6" customFormat="1" ht="15.75" customHeight="1" x14ac:dyDescent="0.25"/>
    <row r="802" s="6" customFormat="1" ht="15.75" customHeight="1" x14ac:dyDescent="0.25"/>
    <row r="803" s="6" customFormat="1" ht="15.75" customHeight="1" x14ac:dyDescent="0.25"/>
    <row r="804" s="6" customFormat="1" ht="15.75" customHeight="1" x14ac:dyDescent="0.25"/>
    <row r="805" s="6" customFormat="1" ht="15.75" customHeight="1" x14ac:dyDescent="0.25"/>
    <row r="806" s="6" customFormat="1" ht="15.75" customHeight="1" x14ac:dyDescent="0.25"/>
    <row r="807" s="6" customFormat="1" ht="15.75" customHeight="1" x14ac:dyDescent="0.25"/>
    <row r="808" s="6" customFormat="1" ht="15.75" customHeight="1" x14ac:dyDescent="0.25"/>
    <row r="809" s="6" customFormat="1" ht="15.75" customHeight="1" x14ac:dyDescent="0.25"/>
    <row r="810" s="6" customFormat="1" ht="15.75" customHeight="1" x14ac:dyDescent="0.25"/>
    <row r="811" s="6" customFormat="1" ht="15.75" customHeight="1" x14ac:dyDescent="0.25"/>
    <row r="812" s="6" customFormat="1" ht="15.75" customHeight="1" x14ac:dyDescent="0.25"/>
    <row r="813" s="6" customFormat="1" ht="15.75" customHeight="1" x14ac:dyDescent="0.25"/>
    <row r="814" s="6" customFormat="1" ht="15.75" customHeight="1" x14ac:dyDescent="0.25"/>
    <row r="815" s="6" customFormat="1" ht="15.75" customHeight="1" x14ac:dyDescent="0.25"/>
    <row r="816" s="6" customFormat="1" ht="15.75" customHeight="1" x14ac:dyDescent="0.25"/>
    <row r="817" s="6" customFormat="1" ht="15.75" customHeight="1" x14ac:dyDescent="0.25"/>
    <row r="818" s="6" customFormat="1" ht="15.75" customHeight="1" x14ac:dyDescent="0.25"/>
    <row r="819" s="6" customFormat="1" ht="15.75" customHeight="1" x14ac:dyDescent="0.25"/>
    <row r="820" s="6" customFormat="1" ht="15.75" customHeight="1" x14ac:dyDescent="0.25"/>
    <row r="821" s="6" customFormat="1" ht="15.75" customHeight="1" x14ac:dyDescent="0.25"/>
    <row r="822" s="6" customFormat="1" ht="15.75" customHeight="1" x14ac:dyDescent="0.25"/>
    <row r="823" s="6" customFormat="1" ht="15.75" customHeight="1" x14ac:dyDescent="0.25"/>
    <row r="824" s="6" customFormat="1" ht="15.75" customHeight="1" x14ac:dyDescent="0.25"/>
    <row r="825" s="6" customFormat="1" ht="15.75" customHeight="1" x14ac:dyDescent="0.25"/>
    <row r="826" s="6" customFormat="1" ht="15.75" customHeight="1" x14ac:dyDescent="0.25"/>
    <row r="827" s="6" customFormat="1" ht="15.75" customHeight="1" x14ac:dyDescent="0.25"/>
    <row r="828" s="6" customFormat="1" ht="15.75" customHeight="1" x14ac:dyDescent="0.25"/>
    <row r="829" s="6" customFormat="1" ht="15.75" customHeight="1" x14ac:dyDescent="0.25"/>
    <row r="830" s="6" customFormat="1" ht="15.75" customHeight="1" x14ac:dyDescent="0.25"/>
    <row r="831" s="6" customFormat="1" ht="15.75" customHeight="1" x14ac:dyDescent="0.25"/>
    <row r="832" s="6" customFormat="1" ht="15.75" customHeight="1" x14ac:dyDescent="0.25"/>
    <row r="833" s="6" customFormat="1" ht="15.75" customHeight="1" x14ac:dyDescent="0.25"/>
    <row r="834" s="6" customFormat="1" ht="15.75" customHeight="1" x14ac:dyDescent="0.25"/>
    <row r="835" s="6" customFormat="1" ht="15.75" customHeight="1" x14ac:dyDescent="0.25"/>
    <row r="836" s="6" customFormat="1" ht="15.75" customHeight="1" x14ac:dyDescent="0.25"/>
    <row r="837" s="6" customFormat="1" ht="15.75" customHeight="1" x14ac:dyDescent="0.25"/>
    <row r="838" s="6" customFormat="1" ht="15.75" customHeight="1" x14ac:dyDescent="0.25"/>
    <row r="839" s="6" customFormat="1" ht="15.75" customHeight="1" x14ac:dyDescent="0.25"/>
    <row r="840" s="6" customFormat="1" ht="15.75" customHeight="1" x14ac:dyDescent="0.25"/>
    <row r="841" s="6" customFormat="1" ht="15.75" customHeight="1" x14ac:dyDescent="0.25"/>
    <row r="842" s="6" customFormat="1" ht="15.75" customHeight="1" x14ac:dyDescent="0.25"/>
    <row r="843" s="6" customFormat="1" ht="15.75" customHeight="1" x14ac:dyDescent="0.25"/>
    <row r="844" s="6" customFormat="1" ht="15.75" customHeight="1" x14ac:dyDescent="0.25"/>
    <row r="845" s="6" customFormat="1" ht="15.75" customHeight="1" x14ac:dyDescent="0.25"/>
    <row r="846" s="6" customFormat="1" ht="15.75" customHeight="1" x14ac:dyDescent="0.25"/>
    <row r="847" s="6" customFormat="1" ht="15.75" customHeight="1" x14ac:dyDescent="0.25"/>
    <row r="848" s="6" customFormat="1" ht="15.75" customHeight="1" x14ac:dyDescent="0.25"/>
    <row r="849" s="6" customFormat="1" ht="15.75" customHeight="1" x14ac:dyDescent="0.25"/>
    <row r="850" s="6" customFormat="1" ht="15.75" customHeight="1" x14ac:dyDescent="0.25"/>
    <row r="851" s="6" customFormat="1" ht="15.75" customHeight="1" x14ac:dyDescent="0.25"/>
    <row r="852" s="6" customFormat="1" ht="15.75" customHeight="1" x14ac:dyDescent="0.25"/>
    <row r="853" s="6" customFormat="1" ht="15.75" customHeight="1" x14ac:dyDescent="0.25"/>
    <row r="854" s="6" customFormat="1" ht="15.75" customHeight="1" x14ac:dyDescent="0.25"/>
    <row r="855" s="6" customFormat="1" ht="15.75" customHeight="1" x14ac:dyDescent="0.25"/>
    <row r="856" s="6" customFormat="1" ht="15.75" customHeight="1" x14ac:dyDescent="0.25"/>
    <row r="857" s="6" customFormat="1" ht="15.75" customHeight="1" x14ac:dyDescent="0.25"/>
    <row r="858" s="6" customFormat="1" ht="15.75" customHeight="1" x14ac:dyDescent="0.25"/>
    <row r="859" s="6" customFormat="1" ht="15.75" customHeight="1" x14ac:dyDescent="0.25"/>
    <row r="860" s="6" customFormat="1" ht="15.75" customHeight="1" x14ac:dyDescent="0.25"/>
    <row r="861" s="6" customFormat="1" ht="15.75" customHeight="1" x14ac:dyDescent="0.25"/>
    <row r="862" s="6" customFormat="1" ht="15.75" customHeight="1" x14ac:dyDescent="0.25"/>
    <row r="863" s="6" customFormat="1" ht="15.75" customHeight="1" x14ac:dyDescent="0.25"/>
    <row r="864" s="6" customFormat="1" ht="15.75" customHeight="1" x14ac:dyDescent="0.25"/>
    <row r="865" s="6" customFormat="1" ht="15.75" customHeight="1" x14ac:dyDescent="0.25"/>
    <row r="866" s="6" customFormat="1" ht="15.75" customHeight="1" x14ac:dyDescent="0.25"/>
    <row r="867" s="6" customFormat="1" ht="15.75" customHeight="1" x14ac:dyDescent="0.25"/>
    <row r="868" s="6" customFormat="1" ht="15.75" customHeight="1" x14ac:dyDescent="0.25"/>
    <row r="869" s="6" customFormat="1" ht="15.75" customHeight="1" x14ac:dyDescent="0.25"/>
    <row r="870" s="6" customFormat="1" ht="15.75" customHeight="1" x14ac:dyDescent="0.25"/>
    <row r="871" s="6" customFormat="1" ht="15.75" customHeight="1" x14ac:dyDescent="0.25"/>
    <row r="872" s="6" customFormat="1" ht="15.75" customHeight="1" x14ac:dyDescent="0.25"/>
    <row r="873" s="6" customFormat="1" ht="15.75" customHeight="1" x14ac:dyDescent="0.25"/>
    <row r="874" s="6" customFormat="1" ht="15.75" customHeight="1" x14ac:dyDescent="0.25"/>
    <row r="875" s="6" customFormat="1" ht="15.75" customHeight="1" x14ac:dyDescent="0.25"/>
    <row r="876" s="6" customFormat="1" ht="15.75" customHeight="1" x14ac:dyDescent="0.25"/>
    <row r="877" s="6" customFormat="1" ht="15.75" customHeight="1" x14ac:dyDescent="0.25"/>
    <row r="878" s="6" customFormat="1" ht="15.75" customHeight="1" x14ac:dyDescent="0.25"/>
    <row r="879" s="6" customFormat="1" ht="15.75" customHeight="1" x14ac:dyDescent="0.25"/>
    <row r="880" s="6" customFormat="1" ht="15.75" customHeight="1" x14ac:dyDescent="0.25"/>
    <row r="881" s="6" customFormat="1" ht="15.75" customHeight="1" x14ac:dyDescent="0.25"/>
    <row r="882" s="6" customFormat="1" ht="15.75" customHeight="1" x14ac:dyDescent="0.25"/>
    <row r="883" s="6" customFormat="1" ht="15.75" customHeight="1" x14ac:dyDescent="0.25"/>
    <row r="884" s="6" customFormat="1" ht="15.75" customHeight="1" x14ac:dyDescent="0.25"/>
    <row r="885" s="6" customFormat="1" ht="15.75" customHeight="1" x14ac:dyDescent="0.25"/>
    <row r="886" s="6" customFormat="1" ht="15.75" customHeight="1" x14ac:dyDescent="0.25"/>
    <row r="887" s="6" customFormat="1" ht="15.75" customHeight="1" x14ac:dyDescent="0.25"/>
    <row r="888" s="6" customFormat="1" ht="15.75" customHeight="1" x14ac:dyDescent="0.25"/>
    <row r="889" s="6" customFormat="1" ht="15.75" customHeight="1" x14ac:dyDescent="0.25"/>
    <row r="890" s="6" customFormat="1" ht="15.75" customHeight="1" x14ac:dyDescent="0.25"/>
    <row r="891" s="6" customFormat="1" ht="15.75" customHeight="1" x14ac:dyDescent="0.25"/>
    <row r="892" s="6" customFormat="1" ht="15.75" customHeight="1" x14ac:dyDescent="0.25"/>
    <row r="893" s="6" customFormat="1" ht="15.75" customHeight="1" x14ac:dyDescent="0.25"/>
    <row r="894" s="6" customFormat="1" ht="15.75" customHeight="1" x14ac:dyDescent="0.25"/>
    <row r="895" s="6" customFormat="1" ht="15.75" customHeight="1" x14ac:dyDescent="0.25"/>
    <row r="896" s="6" customFormat="1" ht="15.75" customHeight="1" x14ac:dyDescent="0.25"/>
    <row r="897" s="6" customFormat="1" ht="15.75" customHeight="1" x14ac:dyDescent="0.25"/>
    <row r="898" s="6" customFormat="1" ht="15.75" customHeight="1" x14ac:dyDescent="0.25"/>
    <row r="899" s="6" customFormat="1" ht="15.75" customHeight="1" x14ac:dyDescent="0.25"/>
    <row r="900" s="6" customFormat="1" ht="15.75" customHeight="1" x14ac:dyDescent="0.25"/>
    <row r="901" s="6" customFormat="1" ht="15.75" customHeight="1" x14ac:dyDescent="0.25"/>
    <row r="902" s="6" customFormat="1" ht="15.75" customHeight="1" x14ac:dyDescent="0.25"/>
    <row r="903" s="6" customFormat="1" ht="15.75" customHeight="1" x14ac:dyDescent="0.25"/>
    <row r="904" s="6" customFormat="1" ht="15.75" customHeight="1" x14ac:dyDescent="0.25"/>
    <row r="905" s="6" customFormat="1" ht="15.75" customHeight="1" x14ac:dyDescent="0.25"/>
    <row r="906" s="6" customFormat="1" ht="15.75" customHeight="1" x14ac:dyDescent="0.25"/>
    <row r="907" s="6" customFormat="1" ht="15.75" customHeight="1" x14ac:dyDescent="0.25"/>
    <row r="908" s="6" customFormat="1" ht="15.75" customHeight="1" x14ac:dyDescent="0.25"/>
    <row r="909" s="6" customFormat="1" ht="15.75" customHeight="1" x14ac:dyDescent="0.25"/>
    <row r="910" s="6" customFormat="1" ht="15.75" customHeight="1" x14ac:dyDescent="0.25"/>
    <row r="911" s="6" customFormat="1" ht="15.75" customHeight="1" x14ac:dyDescent="0.25"/>
    <row r="912" s="6" customFormat="1" ht="15.75" customHeight="1" x14ac:dyDescent="0.25"/>
    <row r="913" s="6" customFormat="1" ht="15.75" customHeight="1" x14ac:dyDescent="0.25"/>
    <row r="914" s="6" customFormat="1" ht="15.75" customHeight="1" x14ac:dyDescent="0.25"/>
    <row r="915" s="6" customFormat="1" ht="15.75" customHeight="1" x14ac:dyDescent="0.25"/>
    <row r="916" s="6" customFormat="1" ht="15.75" customHeight="1" x14ac:dyDescent="0.25"/>
    <row r="917" s="6" customFormat="1" ht="15.75" customHeight="1" x14ac:dyDescent="0.25"/>
    <row r="918" s="6" customFormat="1" ht="15.75" customHeight="1" x14ac:dyDescent="0.25"/>
    <row r="919" s="6" customFormat="1" ht="15.75" customHeight="1" x14ac:dyDescent="0.25"/>
    <row r="920" s="6" customFormat="1" ht="15.75" customHeight="1" x14ac:dyDescent="0.25"/>
    <row r="921" s="6" customFormat="1" ht="15.75" customHeight="1" x14ac:dyDescent="0.25"/>
    <row r="922" s="6" customFormat="1" ht="15.75" customHeight="1" x14ac:dyDescent="0.25"/>
    <row r="923" s="6" customFormat="1" ht="15.75" customHeight="1" x14ac:dyDescent="0.25"/>
    <row r="924" s="6" customFormat="1" ht="15.75" customHeight="1" x14ac:dyDescent="0.25"/>
    <row r="925" s="6" customFormat="1" ht="15.75" customHeight="1" x14ac:dyDescent="0.25"/>
    <row r="926" s="6" customFormat="1" ht="15.75" customHeight="1" x14ac:dyDescent="0.25"/>
    <row r="927" s="6" customFormat="1" ht="15.75" customHeight="1" x14ac:dyDescent="0.25"/>
    <row r="928" s="6" customFormat="1" ht="15.75" customHeight="1" x14ac:dyDescent="0.25"/>
    <row r="929" s="6" customFormat="1" ht="15.75" customHeight="1" x14ac:dyDescent="0.25"/>
    <row r="930" s="6" customFormat="1" ht="15.75" customHeight="1" x14ac:dyDescent="0.25"/>
    <row r="931" s="6" customFormat="1" ht="15.75" customHeight="1" x14ac:dyDescent="0.25"/>
    <row r="932" s="6" customFormat="1" ht="15.75" customHeight="1" x14ac:dyDescent="0.25"/>
    <row r="933" s="6" customFormat="1" ht="15.75" customHeight="1" x14ac:dyDescent="0.25"/>
    <row r="934" s="6" customFormat="1" ht="15.75" customHeight="1" x14ac:dyDescent="0.25"/>
    <row r="935" s="6" customFormat="1" ht="15.75" customHeight="1" x14ac:dyDescent="0.25"/>
    <row r="936" s="6" customFormat="1" ht="15.75" customHeight="1" x14ac:dyDescent="0.25"/>
    <row r="937" s="6" customFormat="1" ht="15.75" customHeight="1" x14ac:dyDescent="0.25"/>
    <row r="938" s="6" customFormat="1" ht="15.75" customHeight="1" x14ac:dyDescent="0.25"/>
    <row r="939" s="6" customFormat="1" ht="15.75" customHeight="1" x14ac:dyDescent="0.25"/>
    <row r="940" s="6" customFormat="1" ht="15.75" customHeight="1" x14ac:dyDescent="0.25"/>
    <row r="941" s="6" customFormat="1" ht="15.75" customHeight="1" x14ac:dyDescent="0.25"/>
    <row r="942" s="6" customFormat="1" ht="15.75" customHeight="1" x14ac:dyDescent="0.25"/>
    <row r="943" s="6" customFormat="1" ht="15.75" customHeight="1" x14ac:dyDescent="0.25"/>
    <row r="944" s="6" customFormat="1" ht="15.75" customHeight="1" x14ac:dyDescent="0.25"/>
    <row r="945" s="6" customFormat="1" ht="15.75" customHeight="1" x14ac:dyDescent="0.25"/>
    <row r="946" s="6" customFormat="1" ht="15.75" customHeight="1" x14ac:dyDescent="0.25"/>
    <row r="947" s="6" customFormat="1" ht="15.75" customHeight="1" x14ac:dyDescent="0.25"/>
    <row r="948" s="6" customFormat="1" ht="15.75" customHeight="1" x14ac:dyDescent="0.25"/>
    <row r="949" s="6" customFormat="1" ht="15.75" customHeight="1" x14ac:dyDescent="0.25"/>
    <row r="950" s="6" customFormat="1" ht="15.75" customHeight="1" x14ac:dyDescent="0.25"/>
    <row r="951" s="6" customFormat="1" ht="15.75" customHeight="1" x14ac:dyDescent="0.25"/>
    <row r="952" s="6" customFormat="1" ht="15.75" customHeight="1" x14ac:dyDescent="0.25"/>
    <row r="953" s="6" customFormat="1" ht="15.75" customHeight="1" x14ac:dyDescent="0.25"/>
    <row r="954" s="6" customFormat="1" ht="15.75" customHeight="1" x14ac:dyDescent="0.25"/>
    <row r="955" s="6" customFormat="1" ht="15.75" customHeight="1" x14ac:dyDescent="0.25"/>
    <row r="956" s="6" customFormat="1" ht="15.75" customHeight="1" x14ac:dyDescent="0.25"/>
    <row r="957" s="6" customFormat="1" ht="15.75" customHeight="1" x14ac:dyDescent="0.25"/>
    <row r="958" s="6" customFormat="1" ht="15.75" customHeight="1" x14ac:dyDescent="0.25"/>
    <row r="959" s="6" customFormat="1" ht="15.75" customHeight="1" x14ac:dyDescent="0.25"/>
    <row r="960" s="6" customFormat="1" ht="15.75" customHeight="1" x14ac:dyDescent="0.25"/>
    <row r="961" s="6" customFormat="1" ht="15.75" customHeight="1" x14ac:dyDescent="0.25"/>
    <row r="962" s="6" customFormat="1" ht="15.75" customHeight="1" x14ac:dyDescent="0.25"/>
    <row r="963" s="6" customFormat="1" ht="15.75" customHeight="1" x14ac:dyDescent="0.25"/>
    <row r="964" s="6" customFormat="1" ht="15.75" customHeight="1" x14ac:dyDescent="0.25"/>
    <row r="965" s="6" customFormat="1" ht="15.75" customHeight="1" x14ac:dyDescent="0.25"/>
    <row r="966" s="6" customFormat="1" ht="15.75" customHeight="1" x14ac:dyDescent="0.25"/>
    <row r="967" s="6" customFormat="1" ht="15.75" customHeight="1" x14ac:dyDescent="0.25"/>
    <row r="968" s="6" customFormat="1" ht="15.75" customHeight="1" x14ac:dyDescent="0.25"/>
    <row r="969" s="6" customFormat="1" ht="15.75" customHeight="1" x14ac:dyDescent="0.25"/>
    <row r="970" s="6" customFormat="1" ht="15.75" customHeight="1" x14ac:dyDescent="0.25"/>
    <row r="971" s="6" customFormat="1" ht="15.75" customHeight="1" x14ac:dyDescent="0.25"/>
    <row r="972" s="6" customFormat="1" ht="15.75" customHeight="1" x14ac:dyDescent="0.25"/>
    <row r="973" s="6" customFormat="1" ht="15.75" customHeight="1" x14ac:dyDescent="0.25"/>
    <row r="974" s="6" customFormat="1" ht="15.75" customHeight="1" x14ac:dyDescent="0.25"/>
    <row r="975" s="6" customFormat="1" ht="15.75" customHeight="1" x14ac:dyDescent="0.25"/>
    <row r="976" s="6" customFormat="1" ht="15.75" customHeight="1" x14ac:dyDescent="0.25"/>
  </sheetData>
  <mergeCells count="23">
    <mergeCell ref="G4:G7"/>
    <mergeCell ref="C5:E5"/>
    <mergeCell ref="C6:E6"/>
    <mergeCell ref="F6:F7"/>
    <mergeCell ref="C7:E7"/>
    <mergeCell ref="C1:F1"/>
    <mergeCell ref="A1:B1"/>
    <mergeCell ref="A4:B7"/>
    <mergeCell ref="C4:E4"/>
    <mergeCell ref="F4:F5"/>
    <mergeCell ref="A12:G12"/>
    <mergeCell ref="A14:C14"/>
    <mergeCell ref="A15:C15"/>
    <mergeCell ref="A16:C16"/>
    <mergeCell ref="A17:C17"/>
    <mergeCell ref="D14:F14"/>
    <mergeCell ref="A20:B20"/>
    <mergeCell ref="A23:C23"/>
    <mergeCell ref="D18:F18"/>
    <mergeCell ref="D15:F15"/>
    <mergeCell ref="D16:F16"/>
    <mergeCell ref="D17:F17"/>
    <mergeCell ref="A18:C18"/>
  </mergeCells>
  <pageMargins left="0.55000000000000004" right="0" top="0.37" bottom="0.75" header="0" footer="0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E9B63C-7604-40BD-BEB0-91CBB726334C}">
          <x14:formula1>
            <xm:f>Reference!$B$2:$B$39</xm:f>
          </x14:formula1>
          <xm:sqref>C1:F1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B9DE-B97F-42CF-B7EF-831486F37309}">
  <sheetPr codeName="Sheet3"/>
  <dimension ref="A1:E39"/>
  <sheetViews>
    <sheetView topLeftCell="A16" workbookViewId="0">
      <selection activeCell="B39" sqref="B39"/>
    </sheetView>
  </sheetViews>
  <sheetFormatPr defaultRowHeight="15" x14ac:dyDescent="0.25"/>
  <cols>
    <col min="1" max="1" width="11.140625" customWidth="1"/>
    <col min="2" max="2" width="55.28515625" customWidth="1"/>
    <col min="3" max="3" width="17" bestFit="1" customWidth="1"/>
    <col min="4" max="4" width="18.140625" bestFit="1" customWidth="1"/>
    <col min="5" max="5" width="17.5703125" bestFit="1" customWidth="1"/>
  </cols>
  <sheetData>
    <row r="1" spans="1:5" ht="36.75" customHeight="1" x14ac:dyDescent="0.3">
      <c r="A1" s="1" t="s">
        <v>72</v>
      </c>
      <c r="B1" s="3" t="s">
        <v>73</v>
      </c>
      <c r="C1" s="3" t="s">
        <v>0</v>
      </c>
      <c r="D1" s="4" t="s">
        <v>74</v>
      </c>
      <c r="E1" s="5" t="s">
        <v>75</v>
      </c>
    </row>
    <row r="2" spans="1:5" ht="15.75" x14ac:dyDescent="0.25">
      <c r="A2" s="2">
        <v>1</v>
      </c>
      <c r="B2" s="60" t="s">
        <v>1</v>
      </c>
      <c r="C2" s="58" t="s">
        <v>2</v>
      </c>
      <c r="D2" s="56">
        <v>9470567.1699999999</v>
      </c>
      <c r="E2" s="56">
        <f>'1'!D1</f>
        <v>9470567.1699999999</v>
      </c>
    </row>
    <row r="3" spans="1:5" ht="15.75" x14ac:dyDescent="0.25">
      <c r="A3" s="2">
        <v>2</v>
      </c>
      <c r="B3" s="61" t="s">
        <v>3</v>
      </c>
      <c r="C3" s="59" t="s">
        <v>4</v>
      </c>
      <c r="D3" s="57">
        <v>364709.68</v>
      </c>
      <c r="E3" s="57">
        <f>'2'!D1</f>
        <v>364709.68</v>
      </c>
    </row>
    <row r="4" spans="1:5" ht="15.75" x14ac:dyDescent="0.25">
      <c r="A4" s="2">
        <v>3</v>
      </c>
      <c r="B4" s="60" t="s">
        <v>5</v>
      </c>
      <c r="C4" s="58" t="s">
        <v>6</v>
      </c>
      <c r="D4" s="56">
        <v>211500</v>
      </c>
      <c r="E4" s="56">
        <f>'3'!D1</f>
        <v>211500</v>
      </c>
    </row>
    <row r="5" spans="1:5" ht="15.75" x14ac:dyDescent="0.25">
      <c r="A5" s="2">
        <v>4</v>
      </c>
      <c r="B5" s="61" t="s">
        <v>7</v>
      </c>
      <c r="C5" s="59" t="s">
        <v>8</v>
      </c>
      <c r="D5" s="57">
        <v>211500</v>
      </c>
      <c r="E5" s="57">
        <f>'4'!D1</f>
        <v>211500</v>
      </c>
    </row>
    <row r="6" spans="1:5" ht="15.75" x14ac:dyDescent="0.25">
      <c r="A6" s="2">
        <v>5</v>
      </c>
      <c r="B6" s="60" t="s">
        <v>9</v>
      </c>
      <c r="C6" s="58" t="s">
        <v>10</v>
      </c>
      <c r="D6" s="56">
        <v>105000</v>
      </c>
      <c r="E6" s="56">
        <f>'5'!D1</f>
        <v>105000</v>
      </c>
    </row>
    <row r="7" spans="1:5" ht="15.75" x14ac:dyDescent="0.25">
      <c r="A7" s="2">
        <v>6</v>
      </c>
      <c r="B7" s="61" t="s">
        <v>11</v>
      </c>
      <c r="C7" s="59" t="s">
        <v>12</v>
      </c>
      <c r="D7" s="57">
        <v>462004.95</v>
      </c>
      <c r="E7" s="57">
        <f>'6'!D1</f>
        <v>462004.95</v>
      </c>
    </row>
    <row r="8" spans="1:5" ht="15.75" x14ac:dyDescent="0.25">
      <c r="A8" s="2">
        <v>7</v>
      </c>
      <c r="B8" s="60" t="s">
        <v>13</v>
      </c>
      <c r="C8" s="58" t="s">
        <v>14</v>
      </c>
      <c r="D8" s="56">
        <v>926761.6</v>
      </c>
      <c r="E8" s="56">
        <f>'7'!D1</f>
        <v>926761.6</v>
      </c>
    </row>
    <row r="9" spans="1:5" ht="15.75" x14ac:dyDescent="0.25">
      <c r="A9" s="2">
        <v>8</v>
      </c>
      <c r="B9" s="61" t="s">
        <v>15</v>
      </c>
      <c r="C9" s="59" t="s">
        <v>16</v>
      </c>
      <c r="D9" s="57">
        <v>79250</v>
      </c>
      <c r="E9" s="57">
        <f>'8'!D1</f>
        <v>79250</v>
      </c>
    </row>
    <row r="10" spans="1:5" ht="15.75" x14ac:dyDescent="0.25">
      <c r="A10" s="2">
        <v>9</v>
      </c>
      <c r="B10" s="60" t="s">
        <v>17</v>
      </c>
      <c r="C10" s="58" t="s">
        <v>18</v>
      </c>
      <c r="D10" s="56">
        <v>793896</v>
      </c>
      <c r="E10" s="56">
        <f>'9'!D1</f>
        <v>793896</v>
      </c>
    </row>
    <row r="11" spans="1:5" ht="15.75" x14ac:dyDescent="0.25">
      <c r="A11" s="2">
        <v>10</v>
      </c>
      <c r="B11" s="61" t="s">
        <v>19</v>
      </c>
      <c r="C11" s="59" t="s">
        <v>18</v>
      </c>
      <c r="D11" s="57">
        <v>74500</v>
      </c>
      <c r="E11" s="57">
        <f>'10'!D1</f>
        <v>74500</v>
      </c>
    </row>
    <row r="12" spans="1:5" ht="15.75" x14ac:dyDescent="0.25">
      <c r="A12" s="2">
        <v>11</v>
      </c>
      <c r="B12" s="60" t="s">
        <v>20</v>
      </c>
      <c r="C12" s="58" t="s">
        <v>18</v>
      </c>
      <c r="D12" s="56">
        <v>0</v>
      </c>
      <c r="E12" s="56">
        <f>'11'!D1</f>
        <v>0</v>
      </c>
    </row>
    <row r="13" spans="1:5" ht="15.75" x14ac:dyDescent="0.25">
      <c r="A13" s="2">
        <v>12</v>
      </c>
      <c r="B13" s="62" t="s">
        <v>21</v>
      </c>
      <c r="C13" s="59" t="s">
        <v>18</v>
      </c>
      <c r="D13" s="57">
        <v>0</v>
      </c>
      <c r="E13" s="57">
        <f>'12'!D1</f>
        <v>0</v>
      </c>
    </row>
    <row r="14" spans="1:5" ht="15.75" x14ac:dyDescent="0.25">
      <c r="A14" s="2">
        <v>13</v>
      </c>
      <c r="B14" s="60" t="s">
        <v>22</v>
      </c>
      <c r="C14" s="58" t="s">
        <v>23</v>
      </c>
      <c r="D14" s="56">
        <v>1151211.82</v>
      </c>
      <c r="E14" s="56">
        <f>'13'!D1</f>
        <v>1150896</v>
      </c>
    </row>
    <row r="15" spans="1:5" ht="15.75" x14ac:dyDescent="0.25">
      <c r="A15" s="2">
        <v>14</v>
      </c>
      <c r="B15" s="61" t="s">
        <v>24</v>
      </c>
      <c r="C15" s="59" t="s">
        <v>25</v>
      </c>
      <c r="D15" s="57">
        <v>35500</v>
      </c>
      <c r="E15" s="57">
        <f>'14'!D1</f>
        <v>35500</v>
      </c>
    </row>
    <row r="16" spans="1:5" ht="15.75" x14ac:dyDescent="0.25">
      <c r="A16" s="2">
        <v>15</v>
      </c>
      <c r="B16" s="60" t="s">
        <v>26</v>
      </c>
      <c r="C16" s="58" t="s">
        <v>27</v>
      </c>
      <c r="D16" s="56">
        <v>234166.92</v>
      </c>
      <c r="E16" s="56">
        <f>'15'!D1</f>
        <v>234166.92</v>
      </c>
    </row>
    <row r="17" spans="1:5" ht="15.75" x14ac:dyDescent="0.25">
      <c r="A17" s="2">
        <v>16</v>
      </c>
      <c r="B17" s="61" t="s">
        <v>28</v>
      </c>
      <c r="C17" s="59" t="s">
        <v>29</v>
      </c>
      <c r="D17" s="57">
        <v>19000</v>
      </c>
      <c r="E17" s="57">
        <f>'16'!D1</f>
        <v>19000</v>
      </c>
    </row>
    <row r="18" spans="1:5" ht="15.75" x14ac:dyDescent="0.25">
      <c r="A18" s="2">
        <v>17</v>
      </c>
      <c r="B18" s="63" t="s">
        <v>30</v>
      </c>
      <c r="C18" s="58" t="s">
        <v>31</v>
      </c>
      <c r="D18" s="56">
        <v>562888.81000000006</v>
      </c>
      <c r="E18" s="56">
        <f>'17'!D1</f>
        <v>562888.81000000006</v>
      </c>
    </row>
    <row r="19" spans="1:5" ht="15.75" x14ac:dyDescent="0.25">
      <c r="A19" s="2">
        <v>18</v>
      </c>
      <c r="B19" s="62" t="s">
        <v>32</v>
      </c>
      <c r="C19" s="59" t="s">
        <v>33</v>
      </c>
      <c r="D19" s="57">
        <v>494805.15</v>
      </c>
      <c r="E19" s="57">
        <f>'18'!D1</f>
        <v>494805.15</v>
      </c>
    </row>
    <row r="20" spans="1:5" ht="15.75" x14ac:dyDescent="0.25">
      <c r="A20" s="2">
        <v>19</v>
      </c>
      <c r="B20" s="63" t="s">
        <v>34</v>
      </c>
      <c r="C20" s="58" t="s">
        <v>33</v>
      </c>
      <c r="D20" s="56">
        <v>292000</v>
      </c>
      <c r="E20" s="56">
        <f>'19'!D1</f>
        <v>292000</v>
      </c>
    </row>
    <row r="21" spans="1:5" ht="15.75" x14ac:dyDescent="0.25">
      <c r="A21" s="2">
        <v>20</v>
      </c>
      <c r="B21" s="61" t="s">
        <v>35</v>
      </c>
      <c r="C21" s="59" t="s">
        <v>36</v>
      </c>
      <c r="D21" s="57">
        <v>348379.44</v>
      </c>
      <c r="E21" s="57">
        <f>'20'!D1</f>
        <v>348379.44</v>
      </c>
    </row>
    <row r="22" spans="1:5" ht="15.75" x14ac:dyDescent="0.25">
      <c r="A22" s="2">
        <v>21</v>
      </c>
      <c r="B22" s="60" t="s">
        <v>37</v>
      </c>
      <c r="C22" s="58" t="s">
        <v>38</v>
      </c>
      <c r="D22" s="56">
        <v>81500</v>
      </c>
      <c r="E22" s="56">
        <f>'21'!D1</f>
        <v>81500</v>
      </c>
    </row>
    <row r="23" spans="1:5" ht="15.75" x14ac:dyDescent="0.25">
      <c r="A23" s="2">
        <v>22</v>
      </c>
      <c r="B23" s="61" t="s">
        <v>39</v>
      </c>
      <c r="C23" s="59" t="s">
        <v>40</v>
      </c>
      <c r="D23" s="57">
        <v>84492.800000000003</v>
      </c>
      <c r="E23" s="57">
        <f>'22'!D1</f>
        <v>8449280</v>
      </c>
    </row>
    <row r="24" spans="1:5" ht="15.75" x14ac:dyDescent="0.25">
      <c r="A24" s="2">
        <v>23</v>
      </c>
      <c r="B24" s="60" t="s">
        <v>41</v>
      </c>
      <c r="C24" s="58" t="s">
        <v>40</v>
      </c>
      <c r="D24" s="56">
        <v>77145.25</v>
      </c>
      <c r="E24" s="56">
        <f>'23'!D1</f>
        <v>77145.25</v>
      </c>
    </row>
    <row r="25" spans="1:5" ht="15.75" x14ac:dyDescent="0.25">
      <c r="A25" s="2">
        <v>24</v>
      </c>
      <c r="B25" s="61" t="s">
        <v>42</v>
      </c>
      <c r="C25" s="59" t="s">
        <v>40</v>
      </c>
      <c r="D25" s="57">
        <v>65064</v>
      </c>
      <c r="E25" s="57">
        <f>'24'!D1</f>
        <v>65064</v>
      </c>
    </row>
    <row r="26" spans="1:5" ht="15.75" x14ac:dyDescent="0.25">
      <c r="A26" s="2">
        <v>25</v>
      </c>
      <c r="B26" s="60" t="s">
        <v>43</v>
      </c>
      <c r="C26" s="58" t="s">
        <v>44</v>
      </c>
      <c r="D26" s="56">
        <v>0</v>
      </c>
      <c r="E26" s="56">
        <f>'25'!D1</f>
        <v>0</v>
      </c>
    </row>
    <row r="27" spans="1:5" ht="15.75" x14ac:dyDescent="0.25">
      <c r="A27" s="2">
        <v>26</v>
      </c>
      <c r="B27" s="61" t="s">
        <v>45</v>
      </c>
      <c r="C27" s="59" t="s">
        <v>46</v>
      </c>
      <c r="D27" s="57">
        <v>0</v>
      </c>
      <c r="E27" s="57">
        <f>'26'!D1</f>
        <v>0</v>
      </c>
    </row>
    <row r="28" spans="1:5" ht="15.75" x14ac:dyDescent="0.25">
      <c r="A28" s="2">
        <v>27</v>
      </c>
      <c r="B28" s="60" t="s">
        <v>47</v>
      </c>
      <c r="C28" s="58" t="s">
        <v>48</v>
      </c>
      <c r="D28" s="56">
        <v>44752.829999999994</v>
      </c>
      <c r="E28" s="56">
        <f>'27'!D1</f>
        <v>44752.83</v>
      </c>
    </row>
    <row r="29" spans="1:5" ht="15.75" x14ac:dyDescent="0.25">
      <c r="A29" s="2">
        <v>28</v>
      </c>
      <c r="B29" s="61" t="s">
        <v>49</v>
      </c>
      <c r="C29" s="59" t="s">
        <v>48</v>
      </c>
      <c r="D29" s="57">
        <v>0</v>
      </c>
      <c r="E29" s="57">
        <f>'28'!D1</f>
        <v>0</v>
      </c>
    </row>
    <row r="30" spans="1:5" ht="15.75" x14ac:dyDescent="0.25">
      <c r="A30" s="2">
        <v>29</v>
      </c>
      <c r="B30" s="60" t="s">
        <v>50</v>
      </c>
      <c r="C30" s="58" t="s">
        <v>51</v>
      </c>
      <c r="D30" s="56">
        <v>58985.860000000015</v>
      </c>
      <c r="E30" s="56">
        <f>'29'!D1</f>
        <v>58985.86</v>
      </c>
    </row>
    <row r="31" spans="1:5" ht="15.75" x14ac:dyDescent="0.25">
      <c r="A31" s="2">
        <v>30</v>
      </c>
      <c r="B31" s="61" t="s">
        <v>52</v>
      </c>
      <c r="C31" s="59" t="s">
        <v>53</v>
      </c>
      <c r="D31" s="57">
        <v>7176</v>
      </c>
      <c r="E31" s="57">
        <f>'30'!D1</f>
        <v>7176</v>
      </c>
    </row>
    <row r="32" spans="1:5" ht="15.75" x14ac:dyDescent="0.25">
      <c r="A32" s="2">
        <v>31</v>
      </c>
      <c r="B32" s="64" t="s">
        <v>54</v>
      </c>
      <c r="C32" s="58" t="s">
        <v>55</v>
      </c>
      <c r="D32" s="56">
        <v>1514997.7300000002</v>
      </c>
      <c r="E32" s="56">
        <f>'31'!D1</f>
        <v>1514997.73</v>
      </c>
    </row>
    <row r="33" spans="1:5" ht="15.75" x14ac:dyDescent="0.25">
      <c r="A33" s="2">
        <v>32</v>
      </c>
      <c r="B33" s="65" t="s">
        <v>56</v>
      </c>
      <c r="C33" s="59" t="s">
        <v>57</v>
      </c>
      <c r="D33" s="57">
        <v>0</v>
      </c>
      <c r="E33" s="57">
        <f>'32'!D1</f>
        <v>0</v>
      </c>
    </row>
    <row r="34" spans="1:5" ht="15.75" x14ac:dyDescent="0.25">
      <c r="A34" s="2">
        <v>33</v>
      </c>
      <c r="B34" s="64" t="s">
        <v>58</v>
      </c>
      <c r="C34" s="58" t="s">
        <v>59</v>
      </c>
      <c r="D34" s="56">
        <v>0</v>
      </c>
      <c r="E34" s="56">
        <f>'33'!D1</f>
        <v>0</v>
      </c>
    </row>
    <row r="35" spans="1:5" ht="15.75" x14ac:dyDescent="0.25">
      <c r="A35" s="2">
        <v>34</v>
      </c>
      <c r="B35" s="65" t="s">
        <v>60</v>
      </c>
      <c r="C35" s="59" t="s">
        <v>61</v>
      </c>
      <c r="D35" s="57">
        <v>0</v>
      </c>
      <c r="E35" s="57">
        <f>'34'!D1</f>
        <v>0</v>
      </c>
    </row>
    <row r="36" spans="1:5" ht="15.75" x14ac:dyDescent="0.25">
      <c r="A36" s="2">
        <v>35</v>
      </c>
      <c r="B36" s="64" t="s">
        <v>62</v>
      </c>
      <c r="C36" s="58" t="s">
        <v>63</v>
      </c>
      <c r="D36" s="56">
        <v>0</v>
      </c>
      <c r="E36" s="56">
        <f>'35'!D1</f>
        <v>0</v>
      </c>
    </row>
    <row r="37" spans="1:5" ht="15.75" x14ac:dyDescent="0.25">
      <c r="A37" s="2">
        <v>36</v>
      </c>
      <c r="B37" s="65" t="s">
        <v>64</v>
      </c>
      <c r="C37" s="59" t="s">
        <v>65</v>
      </c>
      <c r="D37" s="57">
        <v>22800</v>
      </c>
      <c r="E37" s="57">
        <f>'35'!D1</f>
        <v>0</v>
      </c>
    </row>
    <row r="38" spans="1:5" ht="15.75" x14ac:dyDescent="0.25">
      <c r="A38" s="2">
        <v>37</v>
      </c>
      <c r="B38" s="64" t="s">
        <v>66</v>
      </c>
      <c r="C38" s="58" t="s">
        <v>67</v>
      </c>
      <c r="D38" s="56">
        <v>139981.25</v>
      </c>
      <c r="E38" s="56">
        <f>'37'!D1</f>
        <v>139981.25</v>
      </c>
    </row>
    <row r="39" spans="1:5" ht="15.75" x14ac:dyDescent="0.25">
      <c r="A39" s="2">
        <v>38</v>
      </c>
      <c r="B39" s="65" t="s">
        <v>68</v>
      </c>
      <c r="C39" s="59" t="s">
        <v>69</v>
      </c>
      <c r="D39" s="57">
        <v>20978066</v>
      </c>
      <c r="E39" s="57">
        <f>'38'!D1</f>
        <v>20977566</v>
      </c>
    </row>
  </sheetData>
  <protectedRanges>
    <protectedRange sqref="A1:A39" name="RefRange"/>
    <protectedRange sqref="B1:C1 E1" name="RefRange_1"/>
  </protectedRanges>
  <hyperlinks>
    <hyperlink ref="B2" location="'1'!A1" display=" Salaries Wages - Regular" xr:uid="{E4EFB818-416B-4414-9769-5C34A2DF9636}"/>
    <hyperlink ref="B3" location="'2'!A1" display=" PERA (22)" xr:uid="{20D916C1-BFC2-4EE2-AEF2-D078DA50B25E}"/>
    <hyperlink ref="B4" location="'3'!A1" display=" Representation Allowance (RA)" xr:uid="{CA365260-1A44-4427-AF30-AAC0D329179C}"/>
    <hyperlink ref="B5" location="'4'!A1" display=" Transportation Allowance (TA)" xr:uid="{85044449-AFB0-4674-B353-60910A42061A}"/>
    <hyperlink ref="B6" location="'5'!A1" display=" Clothing/Uniform Allowance" xr:uid="{7FE2CEF3-EDDF-4BD9-9FA3-9BD17A0F9E97}"/>
    <hyperlink ref="B7" location="'6'!A1" display=" Overtime &amp; Night Pay" xr:uid="{146FEA7B-1980-4D5E-9F97-8F1ADBFC8CA6}"/>
    <hyperlink ref="B8" location="'7'!A1" display=" Year End Bonus" xr:uid="{63D72272-8BA0-48D9-BEE0-9C2B0EA422A0}"/>
    <hyperlink ref="B9" location="'8'!A1" display=" Cash Gift " xr:uid="{97D58291-1FE2-4582-B44E-170563A75E81}"/>
    <hyperlink ref="B10" location="'9'!A1" display=" Other Bonuses &amp; Allowances (Mid-Year)" xr:uid="{FC29F1B8-4A0A-460C-BD46-567D73851249}"/>
    <hyperlink ref="B11" location="'10'!A1" display=" Other Bonuses &amp; Allowances (PEI)" xr:uid="{D7EEBCF7-8BFF-49CA-92C9-14503A1C22D5}"/>
    <hyperlink ref="B12" location="'11'!A1" display=" Other Bonuses &amp; Allowances (Med)" xr:uid="{8774C890-814E-4D4E-8BCD-DF994A81FFFB}"/>
    <hyperlink ref="B13" location="'12'!A1" display="Other Bonuses &amp; Allowances (Anniv. Bonus)" xr:uid="{AE455370-3340-45EB-BC72-9BA1A0974C3B}"/>
    <hyperlink ref="B14" location="'13'!A1" display=" Retirement &amp; Life Insurance Premiums" xr:uid="{03B83A83-B055-4DDF-919E-56FF04F58F7E}"/>
    <hyperlink ref="B15" location="'14'!A1" display=" Pag-IBIG Contributions" xr:uid="{62B9E77E-B909-4877-B377-677227378A36}"/>
    <hyperlink ref="B16" location="'15'!A1" display=" PhilHealth Contributions " xr:uid="{CF8F355A-FA3C-4603-9346-6976417C5C2C}"/>
    <hyperlink ref="B17" location="'16'!A1" display=" Employees Compensation Ins. Premiums" xr:uid="{6A1E9480-A859-408D-AEDD-2210680346F8}"/>
    <hyperlink ref="B18" location="'17'!A1" display="Terminal Leave Benefits" xr:uid="{63F227D5-AD78-4158-9A6B-87134A4794F8}"/>
    <hyperlink ref="B19" location="'18'!A1" display="Other Personnel Benefits (CNA)" xr:uid="{9ADE509A-999E-4659-BC81-B600B5182B02}"/>
    <hyperlink ref="B20" location="'19'!A1" display="Other Personnel Benefits (SRI)" xr:uid="{C7F6B33E-6C87-4F5C-9988-88A298E55BD2}"/>
    <hyperlink ref="B21" location="'20'!A1" display="Traveling Expenses - Local" xr:uid="{DE8761CE-70EC-4910-B624-59B5FF8A70C0}"/>
    <hyperlink ref="B22" location="'21'!A1" display="Training Expenses" xr:uid="{825CC8E1-CEB9-4B97-837A-52052CFD4AD8}"/>
    <hyperlink ref="B23" location="'22'!A1" display="Office Supplies Expenses" xr:uid="{5F0A7777-F325-418A-857B-70115B696205}"/>
    <hyperlink ref="B24" location="'23'!A1" display="Office Supplies Expenses (Janitorial)" xr:uid="{F0F74673-575B-43E1-92D8-3F38CF40DD61}"/>
    <hyperlink ref="B25" location="'24'!A1" display="Office Supplies Expenses -(Budget Prep.)" xr:uid="{D3B8613C-4185-4A7E-8BC7-7F7D276C952D}"/>
    <hyperlink ref="B26" location="'25'!A1" display="Fuel, Oil &amp; Lubricant Expenses" xr:uid="{AC01135D-1EA2-4C36-A29C-02B508003D4E}"/>
    <hyperlink ref="B27" location="'26'!A1" display="Semi-Expendable Machinery and Equipment Expenses" xr:uid="{E576B3C6-E4D3-493F-B59C-28EC1D4DAB14}"/>
    <hyperlink ref="B28" location="'27'!A1" display="Telephone Expenses " xr:uid="{D1391744-37AE-49C3-823D-1732B181D5C8}"/>
    <hyperlink ref="B29" location="'28'!A1" display="Telephone Expenses - Mobile" xr:uid="{B57F4B4E-CFB7-4C88-B642-DA0C4AA6A983}"/>
    <hyperlink ref="B30" location="'29'!A1" display="Internet Subscription Expenses" xr:uid="{F06E0032-DA06-471E-965A-98E513B65BC9}"/>
    <hyperlink ref="B31" location="'30'!A1" display="Cable, Satelite, Telegraph &amp; Radio Expns." xr:uid="{48820B79-8F45-4897-AE3A-C5B3A0686D26}"/>
    <hyperlink ref="B32" location="'31'!A1" display="Other Professional Services" xr:uid="{F139AB1F-1473-46CF-B34C-9BD33F4A1381}"/>
    <hyperlink ref="B33" location="'32'!A1" display="Other General Services" xr:uid="{E35020B3-A7BC-40EA-BF10-F471E8D24911}"/>
    <hyperlink ref="B34" location="'33'!A1" display="Repairs &amp; Maint.-Machinery &amp; Equipment " xr:uid="{AF9F1AAF-A7C2-484A-B908-7D5162D620B3}"/>
    <hyperlink ref="B35" location="'34'!A1" display="Repairs &amp; Maint.-Transportation Equipment" xr:uid="{20FB575D-0A28-46CB-87D2-A7C639216153}"/>
    <hyperlink ref="B36" location="'35'!A1" display="Insurance Expenses" xr:uid="{EDD8014F-2A90-4398-947E-C4E745D10585}"/>
    <hyperlink ref="B37" location="'36'!A1" display="Printing &amp; Publication Expenses" xr:uid="{3BADBDBC-796C-456E-98FF-B89A49D99404}"/>
    <hyperlink ref="B38" location="'37'!A1" display="Other Maint. &amp; Operating Expenses" xr:uid="{A080719C-779B-4DE3-A029-4ADA03B25AA7}"/>
    <hyperlink ref="B39" location="'38'!A1" display="IT Equipment" xr:uid="{DD094D4E-9838-44FF-9655-F1B893DFF2C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E1C74-3CB0-46DC-99CC-C3A1600C4537}">
  <sheetPr codeName="Sheet6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94</v>
      </c>
      <c r="C1" s="42" t="s">
        <v>2</v>
      </c>
      <c r="D1" s="43">
        <v>9470567.1699999999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9470567.1699999999</v>
      </c>
    </row>
    <row r="4" spans="1:4" x14ac:dyDescent="0.25">
      <c r="D4" s="54">
        <v>9470567.1699999999</v>
      </c>
    </row>
  </sheetData>
  <hyperlinks>
    <hyperlink ref="A1" location="Reference!A1" display="Reference" xr:uid="{F9ABAB2E-72AC-4A41-B61E-B053C2A5A185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0AB37-A5FD-4D32-87AC-1A8BB54FBAEE}">
  <sheetPr codeName="Sheet7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3</v>
      </c>
      <c r="C1" s="42" t="s">
        <v>4</v>
      </c>
      <c r="D1" s="43">
        <v>364709.68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364709.68</v>
      </c>
    </row>
    <row r="4" spans="1:4" x14ac:dyDescent="0.25">
      <c r="D4" s="54">
        <v>364709.68</v>
      </c>
    </row>
  </sheetData>
  <hyperlinks>
    <hyperlink ref="A1" location="Reference!A1" display="Reference" xr:uid="{DB27D242-4E71-4E08-8E80-15F9514650A5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51D24-89AE-405B-A7EE-C5584F82A3DA}">
  <sheetPr codeName="Sheet8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5</v>
      </c>
      <c r="C1" s="42" t="s">
        <v>6</v>
      </c>
      <c r="D1" s="43">
        <v>211500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211500</v>
      </c>
    </row>
    <row r="4" spans="1:4" x14ac:dyDescent="0.25">
      <c r="D4" s="54">
        <v>211500</v>
      </c>
    </row>
  </sheetData>
  <hyperlinks>
    <hyperlink ref="A1" location="Reference!A1" display="Reference" xr:uid="{32F05249-875A-4B7E-92BD-76CACAF46AC9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1D6B-1318-4662-9093-DC2AEC0F0291}">
  <sheetPr codeName="Sheet9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7</v>
      </c>
      <c r="C1" s="42" t="s">
        <v>8</v>
      </c>
      <c r="D1" s="43">
        <v>211500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211500</v>
      </c>
    </row>
    <row r="4" spans="1:4" x14ac:dyDescent="0.25">
      <c r="D4" s="54">
        <v>211500</v>
      </c>
    </row>
  </sheetData>
  <hyperlinks>
    <hyperlink ref="A1" location="Reference!A1" display="Reference" xr:uid="{A81B8AC8-8BB5-4130-8F89-D5760764E50B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07595-914B-451E-A826-D8C940A72B52}">
  <sheetPr codeName="Sheet10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9</v>
      </c>
      <c r="C1" s="42" t="s">
        <v>10</v>
      </c>
      <c r="D1" s="43">
        <v>105000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105000</v>
      </c>
    </row>
    <row r="4" spans="1:4" x14ac:dyDescent="0.25">
      <c r="D4" s="54">
        <v>105000</v>
      </c>
    </row>
  </sheetData>
  <hyperlinks>
    <hyperlink ref="A1" location="Reference!A1" display="Reference" xr:uid="{AA4C21A6-9640-447F-8E8E-7D8F12C06E48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32F5-ABF4-4469-81B3-A85DD4CD112B}">
  <sheetPr codeName="Sheet11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11</v>
      </c>
      <c r="C1" s="42" t="s">
        <v>12</v>
      </c>
      <c r="D1" s="43">
        <v>462004.95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462004.95</v>
      </c>
    </row>
    <row r="4" spans="1:4" x14ac:dyDescent="0.25">
      <c r="D4" s="54">
        <v>462004.95</v>
      </c>
    </row>
  </sheetData>
  <hyperlinks>
    <hyperlink ref="A1" location="Reference!A1" display="Reference" xr:uid="{E15E2860-4822-4C17-A9E6-FE26E3097819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F4292-309B-45C5-A756-B305E247B5B1}">
  <sheetPr codeName="Sheet12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13</v>
      </c>
      <c r="C1" s="42"/>
      <c r="D1" s="43">
        <v>926761.6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926761.6</v>
      </c>
    </row>
    <row r="4" spans="1:4" x14ac:dyDescent="0.25">
      <c r="D4" s="54">
        <v>926761.6</v>
      </c>
    </row>
  </sheetData>
  <hyperlinks>
    <hyperlink ref="A1" location="Reference!A1" display="Reference" xr:uid="{25C506BB-F6DF-4D4B-9227-5A6DC8AF0BAF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AB08-1DBA-4456-9D4B-3FCE749F53D6}">
  <sheetPr codeName="Sheet13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15</v>
      </c>
      <c r="C1" s="42" t="s">
        <v>16</v>
      </c>
      <c r="D1" s="43">
        <v>79250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79250</v>
      </c>
    </row>
    <row r="4" spans="1:4" x14ac:dyDescent="0.25">
      <c r="D4" s="54">
        <v>79250</v>
      </c>
    </row>
  </sheetData>
  <hyperlinks>
    <hyperlink ref="A1" location="Reference!A1" display="Reference" xr:uid="{7698B13B-CDBB-471C-84DC-7B486579F339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5ED3-5315-499F-BC0F-6C0C112DDA3D}">
  <sheetPr codeName="Sheet14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17</v>
      </c>
      <c r="C1" s="42" t="s">
        <v>18</v>
      </c>
      <c r="D1" s="43">
        <v>793896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793896</v>
      </c>
    </row>
    <row r="4" spans="1:4" x14ac:dyDescent="0.25">
      <c r="D4" s="54">
        <v>793896</v>
      </c>
    </row>
  </sheetData>
  <hyperlinks>
    <hyperlink ref="A1" location="Reference!A1" display="Reference" xr:uid="{9DB648ED-CDDC-45B6-9D73-E2B63BF9210B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CFF78-B325-4FF9-BB93-FD28C63F4CB6}">
  <sheetPr codeName="Sheet15"/>
  <dimension ref="A1:D4"/>
  <sheetViews>
    <sheetView zoomScale="98" zoomScaleNormal="98" workbookViewId="0">
      <selection activeCell="E23" sqref="E23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19</v>
      </c>
      <c r="C1" s="42" t="s">
        <v>18</v>
      </c>
      <c r="D1" s="43">
        <v>74500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74500</v>
      </c>
    </row>
    <row r="4" spans="1:4" x14ac:dyDescent="0.25">
      <c r="D4" s="54">
        <v>74500</v>
      </c>
    </row>
  </sheetData>
  <hyperlinks>
    <hyperlink ref="A1" location="Reference!A1" display="Reference" xr:uid="{C72BBE4D-2559-4D69-B816-B941BC87244C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440BC-762D-44A1-B29B-1AB156FF85C5}">
  <sheetPr codeName="Sheet16"/>
  <dimension ref="A1:D4"/>
  <sheetViews>
    <sheetView zoomScale="98" zoomScaleNormal="98" workbookViewId="0">
      <selection activeCell="D26" sqref="D26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102</v>
      </c>
      <c r="C1" s="42" t="s">
        <v>18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A84CEF21-E58D-41C5-B04D-50919516C897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0F3AA-6234-47C9-BEE7-0480E810F4A5}">
  <sheetPr codeName="Sheet17"/>
  <dimension ref="A1:D4"/>
  <sheetViews>
    <sheetView zoomScale="98" zoomScaleNormal="98" workbookViewId="0">
      <selection activeCell="B14" sqref="B14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2" t="s">
        <v>21</v>
      </c>
      <c r="C1" s="42" t="s">
        <v>18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797EF2FC-4C06-404B-8C6E-5BE54B3A6542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DC6F2-30EA-4517-A324-39116773552D}">
  <sheetPr codeName="Sheet18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22</v>
      </c>
      <c r="C1" s="42" t="s">
        <v>23</v>
      </c>
      <c r="D1" s="43">
        <v>1150896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1151211.82</v>
      </c>
    </row>
    <row r="4" spans="1:4" x14ac:dyDescent="0.25">
      <c r="C4" s="54">
        <v>315.82</v>
      </c>
      <c r="D4" s="54">
        <v>1150896</v>
      </c>
    </row>
  </sheetData>
  <hyperlinks>
    <hyperlink ref="A1" location="Reference!A1" display="Reference" xr:uid="{58805D7F-E15E-4B13-910A-1C7F686D6486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59D30-9EEB-4F3A-8130-BDA2144EC128}">
  <sheetPr codeName="Sheet19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24</v>
      </c>
      <c r="C1" s="42" t="s">
        <v>25</v>
      </c>
      <c r="D1" s="43">
        <v>35500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35500</v>
      </c>
    </row>
    <row r="4" spans="1:4" x14ac:dyDescent="0.25">
      <c r="D4" s="54">
        <v>35500</v>
      </c>
    </row>
  </sheetData>
  <hyperlinks>
    <hyperlink ref="A1" location="Reference!A1" display="Reference" xr:uid="{68921C82-AA48-4D08-B0A1-6643F1146E2C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FAE90-629A-4811-81AA-6F35BC1411E6}">
  <sheetPr codeName="Sheet20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26</v>
      </c>
      <c r="C1" s="42" t="s">
        <v>27</v>
      </c>
      <c r="D1" s="43">
        <v>234166.92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234166.92</v>
      </c>
    </row>
    <row r="4" spans="1:4" x14ac:dyDescent="0.25">
      <c r="D4" s="54">
        <v>234166.92</v>
      </c>
    </row>
  </sheetData>
  <hyperlinks>
    <hyperlink ref="A1" location="Reference!A1" display="Reference" xr:uid="{75A95955-1ACE-46AB-86A2-78C648EB518B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D2F32-B579-40F6-984B-0D9AEB3F6864}">
  <sheetPr codeName="Sheet21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2" t="s">
        <v>103</v>
      </c>
      <c r="C1" s="42" t="s">
        <v>29</v>
      </c>
      <c r="D1" s="43">
        <v>19000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19000</v>
      </c>
    </row>
    <row r="4" spans="1:4" x14ac:dyDescent="0.25">
      <c r="D4" s="54">
        <v>19000</v>
      </c>
    </row>
  </sheetData>
  <hyperlinks>
    <hyperlink ref="A1" location="Reference!A1" display="Reference" xr:uid="{2DC35CBC-B7C6-4450-932F-7AF5451DBBDE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3B969-BA8B-4751-B60C-9C5E9A769EA4}">
  <sheetPr codeName="Sheet22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30</v>
      </c>
      <c r="C1" s="42" t="s">
        <v>31</v>
      </c>
      <c r="D1" s="43">
        <v>562888.81000000006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562888.81000000006</v>
      </c>
    </row>
    <row r="4" spans="1:4" x14ac:dyDescent="0.25">
      <c r="D4" s="54">
        <v>562888.81000000006</v>
      </c>
    </row>
  </sheetData>
  <hyperlinks>
    <hyperlink ref="A1" location="Reference!A1" display="Reference" xr:uid="{0A489E51-28A7-46B5-8665-9B08DEB3DF12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01E70-62E0-486F-94E6-B5FE17C35977}">
  <sheetPr codeName="Sheet23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32</v>
      </c>
      <c r="C1" s="42" t="s">
        <v>33</v>
      </c>
      <c r="D1" s="43">
        <v>494805.15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494805.15</v>
      </c>
    </row>
    <row r="4" spans="1:4" x14ac:dyDescent="0.25">
      <c r="D4" s="54">
        <v>494805.15</v>
      </c>
    </row>
  </sheetData>
  <hyperlinks>
    <hyperlink ref="A1" location="Reference!A1" display="Reference" xr:uid="{69D48D0D-AF7B-41B6-9278-118FA2951174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75C75-04C5-4559-824D-03CF8AFC76E5}">
  <sheetPr codeName="Sheet24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34</v>
      </c>
      <c r="C1" s="42" t="s">
        <v>33</v>
      </c>
      <c r="D1" s="43">
        <v>292000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292000</v>
      </c>
    </row>
    <row r="4" spans="1:4" x14ac:dyDescent="0.25">
      <c r="D4" s="54">
        <v>292000</v>
      </c>
    </row>
  </sheetData>
  <hyperlinks>
    <hyperlink ref="A1" location="Reference!A1" display="Reference" xr:uid="{589FD6D9-BF82-469F-A294-25E3F2CA71E4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842B7-2037-4260-93AF-4C54C5C313BF}">
  <sheetPr codeName="Sheet25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35</v>
      </c>
      <c r="C1" s="42" t="s">
        <v>36</v>
      </c>
      <c r="D1" s="43">
        <v>348379.44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348379.44</v>
      </c>
    </row>
    <row r="4" spans="1:4" x14ac:dyDescent="0.25">
      <c r="D4" s="54">
        <v>348379.44</v>
      </c>
    </row>
  </sheetData>
  <hyperlinks>
    <hyperlink ref="A1" location="Reference!A1" display="Reference" xr:uid="{971AEE27-BBB8-455F-BC73-2440047EE110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84AF-877C-41DC-A725-E85C79F45208}">
  <sheetPr codeName="Sheet26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37</v>
      </c>
      <c r="C1" s="42" t="s">
        <v>38</v>
      </c>
      <c r="D1" s="43">
        <v>81500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81500</v>
      </c>
    </row>
    <row r="4" spans="1:4" x14ac:dyDescent="0.25">
      <c r="D4" s="54">
        <v>81500</v>
      </c>
    </row>
  </sheetData>
  <hyperlinks>
    <hyperlink ref="A1" location="Reference!A1" display="Reference" xr:uid="{CA85FEF3-E49A-46A8-A5CA-01237B37FF4B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346E9-AB86-4184-B6FA-8C8041D3BCF4}">
  <sheetPr codeName="Sheet27"/>
  <dimension ref="A1:D4"/>
  <sheetViews>
    <sheetView zoomScale="98" zoomScaleNormal="98" workbookViewId="0">
      <selection activeCell="D18" sqref="D18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39</v>
      </c>
      <c r="C1" s="42" t="s">
        <v>40</v>
      </c>
      <c r="D1" s="43">
        <v>8449280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793896</v>
      </c>
    </row>
    <row r="4" spans="1:4" x14ac:dyDescent="0.25">
      <c r="D4" s="54">
        <v>793896</v>
      </c>
    </row>
  </sheetData>
  <hyperlinks>
    <hyperlink ref="A1" location="Reference!A1" display="Reference" xr:uid="{CA7F2D54-AB41-4E89-8CB0-B236A3B1CB2F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80100-9529-4399-A42F-6BF04AF6FFD4}">
  <sheetPr codeName="Sheet28"/>
  <dimension ref="A1:D4"/>
  <sheetViews>
    <sheetView zoomScale="98" zoomScaleNormal="98" workbookViewId="0">
      <selection activeCell="C15" sqref="C15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41</v>
      </c>
      <c r="C1" s="42" t="s">
        <v>40</v>
      </c>
      <c r="D1" s="43">
        <v>77145.25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77145.25</v>
      </c>
    </row>
    <row r="4" spans="1:4" x14ac:dyDescent="0.25">
      <c r="D4" s="54">
        <v>77145.25</v>
      </c>
    </row>
  </sheetData>
  <hyperlinks>
    <hyperlink ref="A1" location="Reference!A1" display="Reference" xr:uid="{68316214-0F02-4CFE-95BF-5701DD82FA1B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55765-692E-4E9C-BAB3-65A72BAED3D7}">
  <sheetPr codeName="Sheet29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2" t="s">
        <v>42</v>
      </c>
      <c r="C1" s="42" t="s">
        <v>40</v>
      </c>
      <c r="D1" s="43">
        <v>65064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65064</v>
      </c>
    </row>
    <row r="4" spans="1:4" x14ac:dyDescent="0.25">
      <c r="D4" s="54">
        <v>65064</v>
      </c>
    </row>
  </sheetData>
  <hyperlinks>
    <hyperlink ref="A1" location="Reference!A1" display="Reference" xr:uid="{B530C75B-5DC3-43A9-8F3A-87E9C515CBE0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6BC6B-ADC0-416B-8658-D8C4789EC4AD}">
  <sheetPr codeName="Sheet30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43</v>
      </c>
      <c r="C1" s="42" t="s">
        <v>44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9350275F-C547-417E-97C1-A002D41D4664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8595D-6D4A-483B-9E8E-D2910E1168A2}">
  <sheetPr codeName="Sheet31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7.7109375" style="53" bestFit="1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55" t="s">
        <v>45</v>
      </c>
      <c r="C1" s="42" t="s">
        <v>46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2601AAFF-474A-480F-95C1-0506A3AC2BD3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39421-93F9-46B5-9ACB-14D2525F2258}">
  <sheetPr codeName="Sheet32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104</v>
      </c>
      <c r="C1" s="42" t="s">
        <v>48</v>
      </c>
      <c r="D1" s="43">
        <v>44752.83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44752.83</v>
      </c>
    </row>
    <row r="4" spans="1:4" x14ac:dyDescent="0.25">
      <c r="D4" s="54">
        <v>44752.83</v>
      </c>
    </row>
  </sheetData>
  <hyperlinks>
    <hyperlink ref="A1" location="Reference!A1" display="Reference" xr:uid="{29FCA70E-36D2-4010-BFFC-45BE0F51D75E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9C766-6EB9-4D74-8B84-099B194D75B9}">
  <sheetPr codeName="Sheet33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49</v>
      </c>
      <c r="C1" s="42" t="s">
        <v>48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C01AF37F-F983-4F2F-8116-EB6C1D3E6E7F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6CE56-3408-44ED-AFD7-5D653594A37F}">
  <sheetPr codeName="Sheet34"/>
  <dimension ref="A1:D4"/>
  <sheetViews>
    <sheetView zoomScale="98" zoomScaleNormal="98" workbookViewId="0">
      <selection activeCell="C16" sqref="C16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50</v>
      </c>
      <c r="C1" s="42" t="s">
        <v>51</v>
      </c>
      <c r="D1" s="43">
        <v>58985.86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58985.86</v>
      </c>
    </row>
    <row r="4" spans="1:4" x14ac:dyDescent="0.25">
      <c r="D4" s="54">
        <v>58985.86</v>
      </c>
    </row>
  </sheetData>
  <hyperlinks>
    <hyperlink ref="A1" location="Reference!A1" display="Reference" xr:uid="{ECAE5BA9-EC21-47D1-B5D0-01FED94B256E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1A7A-02A5-4EAF-BEB3-3527F71738CA}">
  <sheetPr codeName="Sheet35"/>
  <dimension ref="A1:D4"/>
  <sheetViews>
    <sheetView zoomScale="98" zoomScaleNormal="98" workbookViewId="0"/>
  </sheetViews>
  <sheetFormatPr defaultRowHeight="15.75" x14ac:dyDescent="0.25"/>
  <cols>
    <col min="1" max="1" width="12" style="52" customWidth="1"/>
    <col min="2" max="2" width="56.7109375" style="53" bestFit="1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52</v>
      </c>
      <c r="C1" s="42" t="s">
        <v>53</v>
      </c>
      <c r="D1" s="43">
        <v>7176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7176</v>
      </c>
    </row>
    <row r="4" spans="1:4" x14ac:dyDescent="0.25">
      <c r="D4" s="54">
        <v>7176</v>
      </c>
    </row>
  </sheetData>
  <hyperlinks>
    <hyperlink ref="A1" location="Reference!A1" display="Reference" xr:uid="{5492C63D-8E35-40F0-84B9-444B58FB124C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783-A1DC-4BC9-9695-3098F74005B6}">
  <sheetPr codeName="Sheet36"/>
  <dimension ref="A1:D4"/>
  <sheetViews>
    <sheetView zoomScale="98" zoomScaleNormal="98" workbookViewId="0">
      <selection activeCell="B11" sqref="B11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54</v>
      </c>
      <c r="C1" s="42" t="s">
        <v>55</v>
      </c>
      <c r="D1" s="43">
        <v>1514997.73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1514997.73</v>
      </c>
    </row>
    <row r="4" spans="1:4" x14ac:dyDescent="0.25">
      <c r="D4" s="54">
        <v>1514997.73</v>
      </c>
    </row>
  </sheetData>
  <hyperlinks>
    <hyperlink ref="A1" location="Reference!A1" display="Reference" xr:uid="{569DF98C-82A4-431F-A79F-EADDE0FD2540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1BF91-1417-43AA-98C7-6DED47E618CB}">
  <sheetPr codeName="Sheet37"/>
  <dimension ref="A1:D4"/>
  <sheetViews>
    <sheetView zoomScale="98" zoomScaleNormal="98" workbookViewId="0">
      <selection activeCell="D19" sqref="D19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56</v>
      </c>
      <c r="C1" s="42" t="s">
        <v>57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F8948819-AF4A-4E27-B7F5-D8F980D874C6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B1F6-A1B7-4299-BCF0-50ABC1C77DF5}">
  <sheetPr codeName="Sheet38"/>
  <dimension ref="A1:D4"/>
  <sheetViews>
    <sheetView zoomScale="98" zoomScaleNormal="98" workbookViewId="0">
      <selection activeCell="D10" sqref="D10"/>
    </sheetView>
  </sheetViews>
  <sheetFormatPr defaultRowHeight="15.75" x14ac:dyDescent="0.25"/>
  <cols>
    <col min="1" max="1" width="12" style="52" customWidth="1"/>
    <col min="2" max="2" width="57.85546875" style="53" bestFit="1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105</v>
      </c>
      <c r="C1" s="42" t="s">
        <v>59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1D1C6C36-2B21-4711-BCB0-42077B663518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F1D55-5398-4F5D-BDEF-CCD90BBE1AE0}">
  <sheetPr codeName="Sheet39"/>
  <dimension ref="A1:D4"/>
  <sheetViews>
    <sheetView zoomScale="98" zoomScaleNormal="98" workbookViewId="0">
      <selection activeCell="B13" sqref="B13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2" t="s">
        <v>60</v>
      </c>
      <c r="C1" s="42" t="s">
        <v>61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26C25784-B31B-40F0-9313-97BF38407F10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1F18-42ED-4106-BC9A-5B665B4BF58A}">
  <sheetPr codeName="Sheet40"/>
  <dimension ref="A1:D4"/>
  <sheetViews>
    <sheetView zoomScale="98" zoomScaleNormal="98" workbookViewId="0">
      <selection activeCell="B13" sqref="B13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62</v>
      </c>
      <c r="C1" s="42" t="s">
        <v>63</v>
      </c>
      <c r="D1" s="43">
        <v>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0</v>
      </c>
    </row>
    <row r="4" spans="1:4" x14ac:dyDescent="0.25">
      <c r="D4" s="54">
        <v>0</v>
      </c>
    </row>
  </sheetData>
  <hyperlinks>
    <hyperlink ref="A1" location="Reference!A1" display="Reference" xr:uid="{8A1660CD-27DC-4C4C-9FE8-63B064054FF7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4B10F-02F5-4173-A077-6A1F72CDC3B0}">
  <sheetPr codeName="Sheet41"/>
  <dimension ref="A1:D4"/>
  <sheetViews>
    <sheetView zoomScale="98" zoomScaleNormal="98" workbookViewId="0">
      <selection activeCell="E15" sqref="E15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64</v>
      </c>
      <c r="C1" s="42" t="s">
        <v>65</v>
      </c>
      <c r="D1" s="43">
        <v>22800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22800</v>
      </c>
    </row>
    <row r="4" spans="1:4" x14ac:dyDescent="0.25">
      <c r="D4" s="54">
        <v>22800</v>
      </c>
    </row>
  </sheetData>
  <hyperlinks>
    <hyperlink ref="A1" location="Reference!A1" display="Reference" xr:uid="{AFD4AC97-43EF-4C21-A1A5-ECBC2404EBBD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FAF8-CD15-4673-A47F-4F2C0B299864}">
  <sheetPr codeName="Sheet42"/>
  <dimension ref="A1:D4"/>
  <sheetViews>
    <sheetView zoomScale="98" zoomScaleNormal="98" workbookViewId="0">
      <selection activeCell="B13" sqref="B13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66</v>
      </c>
      <c r="C1" s="42" t="s">
        <v>67</v>
      </c>
      <c r="D1" s="43">
        <v>139981.25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139981.25</v>
      </c>
    </row>
    <row r="4" spans="1:4" x14ac:dyDescent="0.25">
      <c r="D4" s="54">
        <v>139981.25</v>
      </c>
    </row>
  </sheetData>
  <hyperlinks>
    <hyperlink ref="A1" location="Reference!A1" display="Reference" xr:uid="{B4BB0F89-0091-4468-9477-E4DA09B43FD0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893A-EB87-4C00-A47E-11A2A157652E}">
  <sheetPr codeName="Sheet43"/>
  <dimension ref="A1:D4"/>
  <sheetViews>
    <sheetView zoomScale="98" zoomScaleNormal="98" workbookViewId="0">
      <selection activeCell="B18" sqref="B18"/>
    </sheetView>
  </sheetViews>
  <sheetFormatPr defaultRowHeight="15.75" x14ac:dyDescent="0.25"/>
  <cols>
    <col min="1" max="1" width="12" style="52" customWidth="1"/>
    <col min="2" max="2" width="53" style="53" customWidth="1"/>
    <col min="3" max="3" width="23.140625" style="54" bestFit="1" customWidth="1"/>
    <col min="4" max="4" width="23.5703125" style="54" bestFit="1" customWidth="1"/>
  </cols>
  <sheetData>
    <row r="1" spans="1:4" ht="21" x14ac:dyDescent="0.25">
      <c r="A1" s="40" t="s">
        <v>96</v>
      </c>
      <c r="B1" s="41" t="s">
        <v>68</v>
      </c>
      <c r="C1" s="42" t="s">
        <v>69</v>
      </c>
      <c r="D1" s="43">
        <v>20977566</v>
      </c>
    </row>
    <row r="2" spans="1:4" ht="21.75" customHeight="1" x14ac:dyDescent="0.25">
      <c r="A2" s="44" t="s">
        <v>97</v>
      </c>
      <c r="B2" s="45" t="s">
        <v>98</v>
      </c>
      <c r="C2" s="46" t="s">
        <v>99</v>
      </c>
      <c r="D2" s="47" t="s">
        <v>100</v>
      </c>
    </row>
    <row r="3" spans="1:4" x14ac:dyDescent="0.25">
      <c r="A3" s="48"/>
      <c r="B3" s="49" t="s">
        <v>101</v>
      </c>
      <c r="C3" s="50"/>
      <c r="D3" s="51">
        <v>20978066</v>
      </c>
    </row>
    <row r="4" spans="1:4" x14ac:dyDescent="0.25">
      <c r="C4" s="54">
        <v>500</v>
      </c>
      <c r="D4" s="54">
        <v>20977566</v>
      </c>
    </row>
  </sheetData>
  <hyperlinks>
    <hyperlink ref="A1" location="Reference!A1" display="Reference" xr:uid="{1BF48603-78A9-41E9-9883-14629905336C}"/>
  </hyperlinks>
  <pageMargins left="0.25" right="0.25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</vt:i4>
      </vt:variant>
    </vt:vector>
  </HeadingPairs>
  <TitlesOfParts>
    <vt:vector size="41" baseType="lpstr">
      <vt:lpstr>CHARGE SLIP</vt:lpstr>
      <vt:lpstr>Reference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'CHARGE SLIP'!Print_Area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Daday</dc:creator>
  <cp:lastModifiedBy>Spider</cp:lastModifiedBy>
  <cp:lastPrinted>2026-01-15T08:34:14Z</cp:lastPrinted>
  <dcterms:created xsi:type="dcterms:W3CDTF">2025-07-14T06:48:33Z</dcterms:created>
  <dcterms:modified xsi:type="dcterms:W3CDTF">2026-01-16T07:28:56Z</dcterms:modified>
</cp:coreProperties>
</file>