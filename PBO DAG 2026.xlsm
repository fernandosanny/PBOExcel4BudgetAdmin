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Louie\"/>
    </mc:Choice>
  </mc:AlternateContent>
  <xr:revisionPtr revIDLastSave="0" documentId="13_ncr:1_{35FB8D86-376A-4BF2-9269-ACA3F4B7B3F4}" xr6:coauthVersionLast="47" xr6:coauthVersionMax="47" xr10:uidLastSave="{00000000-0000-0000-0000-000000000000}"/>
  <bookViews>
    <workbookView xWindow="-120" yWindow="-120" windowWidth="29040" windowHeight="15720" tabRatio="813" activeTab="1" xr2:uid="{00000000-000D-0000-FFFF-FFFF00000000}"/>
  </bookViews>
  <sheets>
    <sheet name="CHARGE SLIP" sheetId="39" r:id="rId1"/>
    <sheet name="Reference" sheetId="37" r:id="rId2"/>
    <sheet name="1" sheetId="2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43" r:id="rId13"/>
    <sheet name="12" sheetId="44" r:id="rId14"/>
    <sheet name="13" sheetId="46" r:id="rId15"/>
    <sheet name="14" sheetId="47" r:id="rId16"/>
    <sheet name="15" sheetId="48" r:id="rId17"/>
    <sheet name="16" sheetId="49" r:id="rId18"/>
    <sheet name="17" sheetId="50" r:id="rId19"/>
    <sheet name="18" sheetId="51" r:id="rId20"/>
    <sheet name="19" sheetId="52" r:id="rId21"/>
    <sheet name="20" sheetId="53" r:id="rId22"/>
    <sheet name="21" sheetId="54" r:id="rId23"/>
    <sheet name="22" sheetId="55" r:id="rId24"/>
    <sheet name="23" sheetId="56" r:id="rId25"/>
    <sheet name="24" sheetId="57" r:id="rId26"/>
    <sheet name="25" sheetId="58" r:id="rId27"/>
    <sheet name="26" sheetId="59" r:id="rId28"/>
    <sheet name="27" sheetId="60" r:id="rId29"/>
  </sheets>
  <definedNames>
    <definedName name="_xlnm.Print_Area" localSheetId="6">'5'!#REF!</definedName>
    <definedName name="_xlnm.Print_Area" localSheetId="0">'CHARGE SLIP'!$A$4:$G$24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37" l="1"/>
  <c r="E2" i="37"/>
  <c r="E28" i="37"/>
  <c r="E27" i="37"/>
  <c r="E26" i="37"/>
  <c r="E25" i="37"/>
  <c r="E24" i="37"/>
  <c r="E23" i="37"/>
  <c r="E22" i="37"/>
  <c r="E21" i="37"/>
  <c r="E20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G14" i="39"/>
  <c r="E7" i="37"/>
  <c r="E6" i="37"/>
  <c r="E5" i="37"/>
  <c r="E4" i="37"/>
  <c r="D16" i="39"/>
  <c r="D15" i="39"/>
  <c r="D14" i="39"/>
</calcChain>
</file>

<file path=xl/sharedStrings.xml><?xml version="1.0" encoding="utf-8"?>
<sst xmlns="http://schemas.openxmlformats.org/spreadsheetml/2006/main" count="298" uniqueCount="83">
  <si>
    <t>Account Code</t>
  </si>
  <si>
    <t>5-01-01-010</t>
  </si>
  <si>
    <t>5-01-02-010</t>
  </si>
  <si>
    <t>5-01-02-040</t>
  </si>
  <si>
    <t>5-01-02-130</t>
  </si>
  <si>
    <t>5-01-02-140</t>
  </si>
  <si>
    <t>5-01-02-150</t>
  </si>
  <si>
    <t>5-01-02-990</t>
  </si>
  <si>
    <t>5-01-03-010</t>
  </si>
  <si>
    <t>5-01-03-020</t>
  </si>
  <si>
    <t>5-01-03-030</t>
  </si>
  <si>
    <t>5-01-03-040</t>
  </si>
  <si>
    <t>5-01-04-990</t>
  </si>
  <si>
    <t>Office Supplies Expenses</t>
  </si>
  <si>
    <t>5-02-03-010</t>
  </si>
  <si>
    <t>Internet Subscription Expenses</t>
  </si>
  <si>
    <t>5-02-05-030</t>
  </si>
  <si>
    <t>Other Professional Services</t>
  </si>
  <si>
    <t>5-02-11-990</t>
  </si>
  <si>
    <t xml:space="preserve">Repairs &amp; Maint.-Machinery &amp; Equipment </t>
  </si>
  <si>
    <t>5-02-13-050</t>
  </si>
  <si>
    <t>Other Maint. &amp; Operating Expenses</t>
  </si>
  <si>
    <t>5-02-99-990</t>
  </si>
  <si>
    <t xml:space="preserve">ARO NO. 2025-31-028 </t>
  </si>
  <si>
    <t>REFERENCE NO.</t>
  </si>
  <si>
    <t>Office Supplies Expenses-Janitorial</t>
  </si>
  <si>
    <t>Electricity</t>
  </si>
  <si>
    <t>5-02-04-020</t>
  </si>
  <si>
    <t>Rent Expenses</t>
  </si>
  <si>
    <t>5-02-99-050</t>
  </si>
  <si>
    <t>Subscription Expenses</t>
  </si>
  <si>
    <t>ARO NO. 2025-31-029</t>
  </si>
  <si>
    <t>Document Title:</t>
  </si>
  <si>
    <t>Rev No</t>
  </si>
  <si>
    <t>Reserved for ISO Certification Logo</t>
  </si>
  <si>
    <t>CHARGE SLIP</t>
  </si>
  <si>
    <t>Document Number:</t>
  </si>
  <si>
    <t>00</t>
  </si>
  <si>
    <t>CPG-PBO-F04</t>
  </si>
  <si>
    <t>OFFICE:</t>
  </si>
  <si>
    <t>PROVINCIAL BUDGET OFFICE</t>
  </si>
  <si>
    <t>DATE:</t>
  </si>
  <si>
    <t>PROGRAM:</t>
  </si>
  <si>
    <t>STATUS OF APPROPRIATION AND ALLOTMENT</t>
  </si>
  <si>
    <t>ACCOUNT NAME/ CODE:</t>
  </si>
  <si>
    <t>TOTAL APPROPRIATION: (2025)</t>
  </si>
  <si>
    <t>BALANCE OF ALLOTMENT:</t>
  </si>
  <si>
    <t>LESS: THIS CLAIM (VOUCHER/RIV)</t>
  </si>
  <si>
    <t>BALANCE OF ALLOTMENT</t>
  </si>
  <si>
    <t>Requested by:</t>
  </si>
  <si>
    <t>G. ANTONIO ARBIS</t>
  </si>
  <si>
    <t>Provincial Budget Officer</t>
  </si>
  <si>
    <t>DIGITAL  AUTOMATION GROUP (DAG)</t>
  </si>
  <si>
    <t>Salaries &amp; Wages-Regular</t>
  </si>
  <si>
    <t>PERA (2)</t>
  </si>
  <si>
    <t>Clothing/Uniform Allowance</t>
  </si>
  <si>
    <t>Overtime and Night Pay</t>
  </si>
  <si>
    <t>Year End Bonus</t>
  </si>
  <si>
    <t>Cash Gift</t>
  </si>
  <si>
    <t>Other Bonuses &amp; Allowances (Mid-Year)</t>
  </si>
  <si>
    <t>Other Bonuses &amp; Allowances (PEI)</t>
  </si>
  <si>
    <t>Other Bonuses &amp; Allowances (Med)</t>
  </si>
  <si>
    <t>Other Bonuses &amp; Allowances (Anniv. Bonus)</t>
  </si>
  <si>
    <t>Retirement &amp; Life Insurance Premiums</t>
  </si>
  <si>
    <t>Pag-ibig Contributions</t>
  </si>
  <si>
    <t>Philhealth Contributions</t>
  </si>
  <si>
    <t>Employees Compensation Ins. Premiums</t>
  </si>
  <si>
    <t>Terminal Leave Benefits</t>
  </si>
  <si>
    <t>Other Personnel Benefits (CNA)</t>
  </si>
  <si>
    <t>Other Personnel Benefits (SRI)</t>
  </si>
  <si>
    <t>Semi-Expendable Machinery and Equipment Expenses</t>
  </si>
  <si>
    <t>Reference</t>
  </si>
  <si>
    <t>Date</t>
  </si>
  <si>
    <t>Particulars</t>
  </si>
  <si>
    <t>Obligated Amount</t>
  </si>
  <si>
    <t>Remaining Balance</t>
  </si>
  <si>
    <t>ARO NO. 2026 (Initial)</t>
  </si>
  <si>
    <t>5-01-04-030</t>
  </si>
  <si>
    <t>5-02-03-210</t>
  </si>
  <si>
    <t>ACCOUNTS</t>
  </si>
  <si>
    <t>Search</t>
  </si>
  <si>
    <t>Total
 Appropriation</t>
  </si>
  <si>
    <t>Appropriation 
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</si>
</sst>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name val="Calibri"/>
      <family val="2"/>
    </font>
    <font>
      <b/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rgb="FFFF0000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u/>
      <sz val="12"/>
      <color theme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8" fillId="0" borderId="0"/>
    <xf numFmtId="0" fontId="24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49">
    <xf numFmtId="0" fontId="0" fillId="0" borderId="0" xfId="0"/>
    <xf numFmtId="0" fontId="3" fillId="0" borderId="1" xfId="0" applyFont="1" applyBorder="1"/>
    <xf numFmtId="0" fontId="3" fillId="0" borderId="0" xfId="0" applyFont="1"/>
    <xf numFmtId="43" fontId="3" fillId="0" borderId="0" xfId="1" applyFont="1"/>
    <xf numFmtId="14" fontId="3" fillId="0" borderId="0" xfId="0" applyNumberFormat="1" applyFont="1"/>
    <xf numFmtId="0" fontId="3" fillId="0" borderId="1" xfId="0" applyFont="1" applyBorder="1" applyAlignment="1">
      <alignment horizontal="left" vertical="center"/>
    </xf>
    <xf numFmtId="43" fontId="3" fillId="0" borderId="1" xfId="1" applyFont="1" applyBorder="1" applyAlignment="1">
      <alignment horizontal="center" vertical="center"/>
    </xf>
    <xf numFmtId="14" fontId="3" fillId="0" borderId="1" xfId="0" applyNumberFormat="1" applyFont="1" applyBorder="1"/>
    <xf numFmtId="43" fontId="3" fillId="0" borderId="1" xfId="1" applyFont="1" applyBorder="1"/>
    <xf numFmtId="14" fontId="3" fillId="0" borderId="1" xfId="0" applyNumberFormat="1" applyFont="1" applyBorder="1" applyAlignment="1">
      <alignment horizontal="center" vertical="center"/>
    </xf>
    <xf numFmtId="43" fontId="4" fillId="3" borderId="1" xfId="0" applyNumberFormat="1" applyFont="1" applyFill="1" applyBorder="1" applyAlignment="1">
      <alignment vertical="center"/>
    </xf>
    <xf numFmtId="43" fontId="7" fillId="3" borderId="1" xfId="0" applyNumberFormat="1" applyFont="1" applyFill="1" applyBorder="1" applyAlignment="1">
      <alignment vertical="center"/>
    </xf>
    <xf numFmtId="0" fontId="8" fillId="0" borderId="0" xfId="2"/>
    <xf numFmtId="0" fontId="9" fillId="0" borderId="12" xfId="2" applyFont="1" applyBorder="1" applyAlignment="1">
      <alignment horizontal="center"/>
    </xf>
    <xf numFmtId="0" fontId="9" fillId="0" borderId="0" xfId="2" applyFont="1" applyAlignment="1">
      <alignment horizontal="center"/>
    </xf>
    <xf numFmtId="0" fontId="14" fillId="0" borderId="0" xfId="2" applyFont="1" applyAlignment="1">
      <alignment horizontal="center"/>
    </xf>
    <xf numFmtId="0" fontId="14" fillId="0" borderId="0" xfId="2" applyFont="1" applyAlignment="1">
      <alignment horizontal="center" vertical="center"/>
    </xf>
    <xf numFmtId="0" fontId="16" fillId="0" borderId="25" xfId="2" applyFont="1" applyBorder="1" applyAlignment="1">
      <alignment horizontal="center" vertical="center" wrapText="1"/>
    </xf>
    <xf numFmtId="0" fontId="17" fillId="0" borderId="26" xfId="2" applyFont="1" applyBorder="1"/>
    <xf numFmtId="0" fontId="17" fillId="0" borderId="27" xfId="2" applyFont="1" applyBorder="1"/>
    <xf numFmtId="0" fontId="18" fillId="0" borderId="27" xfId="2" applyFont="1" applyBorder="1"/>
    <xf numFmtId="0" fontId="18" fillId="0" borderId="28" xfId="2" applyFont="1" applyBorder="1"/>
    <xf numFmtId="0" fontId="17" fillId="0" borderId="29" xfId="2" applyFont="1" applyBorder="1"/>
    <xf numFmtId="0" fontId="17" fillId="0" borderId="30" xfId="2" applyFont="1" applyBorder="1"/>
    <xf numFmtId="0" fontId="17" fillId="0" borderId="31" xfId="2" applyFont="1" applyBorder="1"/>
    <xf numFmtId="0" fontId="17" fillId="0" borderId="32" xfId="2" applyFont="1" applyBorder="1"/>
    <xf numFmtId="0" fontId="17" fillId="0" borderId="33" xfId="2" applyFont="1" applyBorder="1"/>
    <xf numFmtId="0" fontId="17" fillId="0" borderId="12" xfId="2" applyFont="1" applyBorder="1"/>
    <xf numFmtId="0" fontId="17" fillId="0" borderId="0" xfId="2" applyFont="1"/>
    <xf numFmtId="0" fontId="17" fillId="0" borderId="25" xfId="2" applyFont="1" applyBorder="1"/>
    <xf numFmtId="43" fontId="17" fillId="0" borderId="35" xfId="2" applyNumberFormat="1" applyFont="1" applyBorder="1"/>
    <xf numFmtId="0" fontId="17" fillId="0" borderId="39" xfId="2" applyFont="1" applyBorder="1"/>
    <xf numFmtId="0" fontId="17" fillId="0" borderId="40" xfId="2" applyFont="1" applyBorder="1"/>
    <xf numFmtId="0" fontId="18" fillId="0" borderId="0" xfId="2" applyFont="1"/>
    <xf numFmtId="0" fontId="10" fillId="0" borderId="0" xfId="2" applyFont="1"/>
    <xf numFmtId="0" fontId="17" fillId="0" borderId="41" xfId="2" applyFont="1" applyBorder="1"/>
    <xf numFmtId="0" fontId="17" fillId="0" borderId="42" xfId="2" applyFont="1" applyBorder="1"/>
    <xf numFmtId="0" fontId="17" fillId="0" borderId="43" xfId="2" applyFont="1" applyBorder="1"/>
    <xf numFmtId="0" fontId="18" fillId="0" borderId="25" xfId="2" applyFont="1" applyBorder="1"/>
    <xf numFmtId="0" fontId="21" fillId="0" borderId="31" xfId="2" applyFont="1" applyBorder="1"/>
    <xf numFmtId="0" fontId="22" fillId="0" borderId="27" xfId="2" applyFont="1" applyBorder="1"/>
    <xf numFmtId="43" fontId="18" fillId="0" borderId="0" xfId="2" applyNumberFormat="1" applyFont="1"/>
    <xf numFmtId="0" fontId="13" fillId="0" borderId="0" xfId="2" applyFont="1"/>
    <xf numFmtId="14" fontId="17" fillId="0" borderId="28" xfId="2" applyNumberFormat="1" applyFont="1" applyBorder="1"/>
    <xf numFmtId="43" fontId="0" fillId="0" borderId="0" xfId="1" applyFont="1"/>
    <xf numFmtId="0" fontId="0" fillId="0" borderId="1" xfId="0" applyBorder="1"/>
    <xf numFmtId="43" fontId="0" fillId="0" borderId="1" xfId="1" applyFont="1" applyBorder="1"/>
    <xf numFmtId="43" fontId="25" fillId="3" borderId="1" xfId="0" applyNumberFormat="1" applyFont="1" applyFill="1" applyBorder="1" applyAlignment="1">
      <alignment vertical="center"/>
    </xf>
    <xf numFmtId="14" fontId="27" fillId="0" borderId="0" xfId="3" quotePrefix="1" applyNumberFormat="1" applyFont="1"/>
    <xf numFmtId="14" fontId="3" fillId="5" borderId="48" xfId="0" applyNumberFormat="1" applyFont="1" applyFill="1" applyBorder="1" applyAlignment="1">
      <alignment horizontal="center" vertical="center"/>
    </xf>
    <xf numFmtId="43" fontId="3" fillId="5" borderId="48" xfId="1" applyFont="1" applyFill="1" applyBorder="1" applyAlignment="1">
      <alignment horizontal="center" vertical="center"/>
    </xf>
    <xf numFmtId="0" fontId="3" fillId="5" borderId="48" xfId="0" applyFont="1" applyFill="1" applyBorder="1" applyAlignment="1">
      <alignment horizontal="left" vertical="center"/>
    </xf>
    <xf numFmtId="43" fontId="3" fillId="5" borderId="49" xfId="1" applyFont="1" applyFill="1" applyBorder="1" applyAlignment="1">
      <alignment horizontal="center" vertical="center"/>
    </xf>
    <xf numFmtId="14" fontId="26" fillId="4" borderId="50" xfId="0" applyNumberFormat="1" applyFont="1" applyFill="1" applyBorder="1"/>
    <xf numFmtId="0" fontId="26" fillId="4" borderId="50" xfId="0" applyFont="1" applyFill="1" applyBorder="1"/>
    <xf numFmtId="43" fontId="26" fillId="4" borderId="50" xfId="1" applyFont="1" applyFill="1" applyBorder="1"/>
    <xf numFmtId="43" fontId="26" fillId="4" borderId="51" xfId="1" applyFont="1" applyFill="1" applyBorder="1"/>
    <xf numFmtId="43" fontId="3" fillId="5" borderId="48" xfId="1" applyNumberFormat="1" applyFont="1" applyFill="1" applyBorder="1" applyAlignment="1">
      <alignment horizontal="center" vertical="center"/>
    </xf>
    <xf numFmtId="43" fontId="3" fillId="5" borderId="49" xfId="1" applyNumberFormat="1" applyFont="1" applyFill="1" applyBorder="1" applyAlignment="1">
      <alignment horizontal="center" vertical="center"/>
    </xf>
    <xf numFmtId="0" fontId="8" fillId="7" borderId="0" xfId="2" applyFill="1"/>
    <xf numFmtId="0" fontId="29" fillId="0" borderId="0" xfId="2" applyFont="1"/>
    <xf numFmtId="0" fontId="28" fillId="7" borderId="0" xfId="2" applyFont="1" applyFill="1"/>
    <xf numFmtId="14" fontId="3" fillId="0" borderId="45" xfId="0" applyNumberFormat="1" applyFont="1" applyBorder="1"/>
    <xf numFmtId="0" fontId="3" fillId="0" borderId="45" xfId="0" applyFont="1" applyBorder="1"/>
    <xf numFmtId="43" fontId="3" fillId="0" borderId="45" xfId="1" applyFont="1" applyBorder="1"/>
    <xf numFmtId="14" fontId="3" fillId="5" borderId="44" xfId="0" applyNumberFormat="1" applyFont="1" applyFill="1" applyBorder="1" applyAlignment="1">
      <alignment horizontal="center" vertical="center"/>
    </xf>
    <xf numFmtId="0" fontId="3" fillId="5" borderId="44" xfId="0" applyFont="1" applyFill="1" applyBorder="1" applyAlignment="1">
      <alignment horizontal="left" vertical="center"/>
    </xf>
    <xf numFmtId="43" fontId="3" fillId="5" borderId="44" xfId="1" applyNumberFormat="1" applyFont="1" applyFill="1" applyBorder="1" applyAlignment="1">
      <alignment horizontal="center" vertical="center"/>
    </xf>
    <xf numFmtId="43" fontId="3" fillId="5" borderId="45" xfId="1" applyNumberFormat="1" applyFont="1" applyFill="1" applyBorder="1" applyAlignment="1">
      <alignment horizontal="center" vertical="center"/>
    </xf>
    <xf numFmtId="14" fontId="26" fillId="4" borderId="5" xfId="0" applyNumberFormat="1" applyFont="1" applyFill="1" applyBorder="1"/>
    <xf numFmtId="0" fontId="26" fillId="4" borderId="5" xfId="0" applyFont="1" applyFill="1" applyBorder="1"/>
    <xf numFmtId="43" fontId="26" fillId="4" borderId="5" xfId="1" applyNumberFormat="1" applyFont="1" applyFill="1" applyBorder="1"/>
    <xf numFmtId="43" fontId="26" fillId="4" borderId="2" xfId="1" applyNumberFormat="1" applyFont="1" applyFill="1" applyBorder="1"/>
    <xf numFmtId="0" fontId="0" fillId="5" borderId="52" xfId="0" applyFont="1" applyFill="1" applyBorder="1"/>
    <xf numFmtId="0" fontId="3" fillId="5" borderId="1" xfId="0" applyFont="1" applyFill="1" applyBorder="1" applyAlignment="1">
      <alignment horizontal="left" vertical="center"/>
    </xf>
    <xf numFmtId="0" fontId="0" fillId="0" borderId="45" xfId="0" applyBorder="1"/>
    <xf numFmtId="43" fontId="4" fillId="3" borderId="45" xfId="0" applyNumberFormat="1" applyFont="1" applyFill="1" applyBorder="1" applyAlignment="1">
      <alignment vertical="center"/>
    </xf>
    <xf numFmtId="43" fontId="7" fillId="3" borderId="45" xfId="0" applyNumberFormat="1" applyFont="1" applyFill="1" applyBorder="1" applyAlignment="1">
      <alignment vertical="center"/>
    </xf>
    <xf numFmtId="43" fontId="25" fillId="3" borderId="45" xfId="0" applyNumberFormat="1" applyFont="1" applyFill="1" applyBorder="1" applyAlignment="1">
      <alignment vertical="center"/>
    </xf>
    <xf numFmtId="14" fontId="26" fillId="4" borderId="46" xfId="0" applyNumberFormat="1" applyFont="1" applyFill="1" applyBorder="1"/>
    <xf numFmtId="0" fontId="26" fillId="4" borderId="3" xfId="0" applyFont="1" applyFill="1" applyBorder="1"/>
    <xf numFmtId="43" fontId="26" fillId="4" borderId="3" xfId="1" applyNumberFormat="1" applyFont="1" applyFill="1" applyBorder="1"/>
    <xf numFmtId="43" fontId="26" fillId="4" borderId="4" xfId="1" applyNumberFormat="1" applyFont="1" applyFill="1" applyBorder="1"/>
    <xf numFmtId="0" fontId="0" fillId="0" borderId="53" xfId="0" applyBorder="1"/>
    <xf numFmtId="0" fontId="0" fillId="0" borderId="54" xfId="0" applyBorder="1"/>
    <xf numFmtId="0" fontId="0" fillId="5" borderId="1" xfId="0" applyFont="1" applyFill="1" applyBorder="1"/>
    <xf numFmtId="14" fontId="26" fillId="4" borderId="0" xfId="0" applyNumberFormat="1" applyFont="1" applyFill="1" applyBorder="1"/>
    <xf numFmtId="0" fontId="0" fillId="5" borderId="53" xfId="0" applyFont="1" applyFill="1" applyBorder="1"/>
    <xf numFmtId="43" fontId="6" fillId="3" borderId="1" xfId="0" applyNumberFormat="1" applyFont="1" applyFill="1" applyBorder="1" applyAlignment="1">
      <alignment vertical="center"/>
    </xf>
    <xf numFmtId="14" fontId="26" fillId="4" borderId="3" xfId="0" applyNumberFormat="1" applyFont="1" applyFill="1" applyBorder="1"/>
    <xf numFmtId="43" fontId="0" fillId="5" borderId="1" xfId="1" applyFont="1" applyFill="1" applyBorder="1"/>
    <xf numFmtId="43" fontId="0" fillId="5" borderId="47" xfId="1" applyFont="1" applyFill="1" applyBorder="1"/>
    <xf numFmtId="43" fontId="0" fillId="0" borderId="45" xfId="1" applyFont="1" applyBorder="1"/>
    <xf numFmtId="43" fontId="0" fillId="0" borderId="44" xfId="1" applyFont="1" applyBorder="1"/>
    <xf numFmtId="43" fontId="26" fillId="4" borderId="3" xfId="1" applyFont="1" applyFill="1" applyBorder="1"/>
    <xf numFmtId="43" fontId="0" fillId="0" borderId="47" xfId="1" applyFont="1" applyBorder="1"/>
    <xf numFmtId="43" fontId="3" fillId="5" borderId="1" xfId="1" applyFont="1" applyFill="1" applyBorder="1" applyAlignment="1">
      <alignment horizontal="center" vertical="center"/>
    </xf>
    <xf numFmtId="43" fontId="0" fillId="5" borderId="47" xfId="1" applyNumberFormat="1" applyFont="1" applyFill="1" applyBorder="1"/>
    <xf numFmtId="0" fontId="2" fillId="3" borderId="1" xfId="0" applyFont="1" applyFill="1" applyBorder="1" applyAlignment="1" applyProtection="1">
      <alignment horizontal="center" wrapText="1"/>
    </xf>
    <xf numFmtId="0" fontId="7" fillId="6" borderId="1" xfId="0" applyFont="1" applyFill="1" applyBorder="1" applyProtection="1"/>
    <xf numFmtId="0" fontId="2" fillId="3" borderId="1" xfId="0" applyFont="1" applyFill="1" applyBorder="1" applyAlignment="1" applyProtection="1">
      <alignment horizontal="center"/>
    </xf>
    <xf numFmtId="0" fontId="31" fillId="0" borderId="1" xfId="3" applyFont="1" applyBorder="1" applyProtection="1"/>
    <xf numFmtId="0" fontId="0" fillId="0" borderId="1" xfId="0" applyFill="1" applyBorder="1" applyProtection="1"/>
    <xf numFmtId="0" fontId="0" fillId="0" borderId="1" xfId="0" applyBorder="1" applyProtection="1"/>
    <xf numFmtId="43" fontId="31" fillId="0" borderId="1" xfId="3" applyNumberFormat="1" applyFont="1" applyBorder="1" applyProtection="1"/>
    <xf numFmtId="0" fontId="7" fillId="6" borderId="1" xfId="0" applyFont="1" applyFill="1" applyBorder="1" applyAlignment="1" applyProtection="1">
      <alignment horizontal="center" wrapText="1"/>
    </xf>
    <xf numFmtId="43" fontId="0" fillId="0" borderId="1" xfId="0" applyNumberFormat="1" applyBorder="1" applyProtection="1"/>
    <xf numFmtId="43" fontId="0" fillId="0" borderId="1" xfId="1" applyFont="1" applyBorder="1" applyProtection="1">
      <protection locked="0"/>
    </xf>
    <xf numFmtId="43" fontId="7" fillId="6" borderId="1" xfId="1" applyFont="1" applyFill="1" applyBorder="1" applyAlignment="1" applyProtection="1">
      <alignment horizontal="center" wrapText="1"/>
    </xf>
    <xf numFmtId="0" fontId="0" fillId="0" borderId="0" xfId="0" applyProtection="1"/>
    <xf numFmtId="0" fontId="0" fillId="0" borderId="0" xfId="0" applyAlignment="1" applyProtection="1">
      <alignment horizontal="center"/>
    </xf>
    <xf numFmtId="43" fontId="0" fillId="0" borderId="0" xfId="1" applyFont="1" applyProtection="1"/>
    <xf numFmtId="0" fontId="30" fillId="2" borderId="0" xfId="2" applyFont="1" applyFill="1" applyAlignment="1">
      <alignment horizontal="left"/>
    </xf>
    <xf numFmtId="0" fontId="25" fillId="7" borderId="0" xfId="2" applyFont="1" applyFill="1" applyAlignment="1">
      <alignment horizontal="left"/>
    </xf>
    <xf numFmtId="0" fontId="9" fillId="0" borderId="6" xfId="2" applyFont="1" applyBorder="1" applyAlignment="1">
      <alignment horizontal="center"/>
    </xf>
    <xf numFmtId="0" fontId="10" fillId="0" borderId="7" xfId="2" applyFont="1" applyBorder="1"/>
    <xf numFmtId="0" fontId="10" fillId="0" borderId="12" xfId="2" applyFont="1" applyBorder="1"/>
    <xf numFmtId="0" fontId="10" fillId="0" borderId="13" xfId="2" applyFont="1" applyBorder="1"/>
    <xf numFmtId="0" fontId="10" fillId="0" borderId="20" xfId="2" applyFont="1" applyBorder="1"/>
    <xf numFmtId="0" fontId="10" fillId="0" borderId="21" xfId="2" applyFont="1" applyBorder="1"/>
    <xf numFmtId="0" fontId="11" fillId="0" borderId="8" xfId="2" applyFont="1" applyBorder="1" applyAlignment="1">
      <alignment horizontal="left"/>
    </xf>
    <xf numFmtId="0" fontId="10" fillId="0" borderId="9" xfId="2" applyFont="1" applyBorder="1"/>
    <xf numFmtId="0" fontId="12" fillId="0" borderId="10" xfId="2" applyFont="1" applyBorder="1" applyAlignment="1">
      <alignment horizontal="center"/>
    </xf>
    <xf numFmtId="0" fontId="10" fillId="0" borderId="15" xfId="2" applyFont="1" applyBorder="1"/>
    <xf numFmtId="0" fontId="13" fillId="0" borderId="11" xfId="2" applyFont="1" applyBorder="1" applyAlignment="1">
      <alignment horizontal="center" vertical="center" wrapText="1"/>
    </xf>
    <xf numFmtId="0" fontId="10" fillId="0" borderId="16" xfId="2" applyFont="1" applyBorder="1"/>
    <xf numFmtId="0" fontId="10" fillId="0" borderId="24" xfId="2" applyFont="1" applyBorder="1"/>
    <xf numFmtId="0" fontId="14" fillId="0" borderId="14" xfId="2" applyFont="1" applyBorder="1" applyAlignment="1">
      <alignment horizontal="center" vertical="center"/>
    </xf>
    <xf numFmtId="0" fontId="8" fillId="0" borderId="0" xfId="2"/>
    <xf numFmtId="0" fontId="11" fillId="0" borderId="17" xfId="2" applyFont="1" applyBorder="1" applyAlignment="1">
      <alignment horizontal="left"/>
    </xf>
    <xf numFmtId="0" fontId="10" fillId="0" borderId="18" xfId="2" applyFont="1" applyBorder="1"/>
    <xf numFmtId="0" fontId="15" fillId="0" borderId="19" xfId="2" quotePrefix="1" applyFont="1" applyBorder="1" applyAlignment="1">
      <alignment horizontal="center" vertical="top"/>
    </xf>
    <xf numFmtId="0" fontId="14" fillId="0" borderId="22" xfId="2" applyFont="1" applyBorder="1" applyAlignment="1">
      <alignment horizontal="center" vertical="center"/>
    </xf>
    <xf numFmtId="0" fontId="10" fillId="0" borderId="23" xfId="2" applyFont="1" applyBorder="1"/>
    <xf numFmtId="0" fontId="19" fillId="0" borderId="12" xfId="2" applyFont="1" applyBorder="1" applyAlignment="1">
      <alignment horizontal="center"/>
    </xf>
    <xf numFmtId="0" fontId="10" fillId="0" borderId="25" xfId="2" applyFont="1" applyBorder="1"/>
    <xf numFmtId="0" fontId="13" fillId="0" borderId="34" xfId="2" applyFont="1" applyBorder="1" applyAlignment="1">
      <alignment horizontal="left" vertical="center"/>
    </xf>
    <xf numFmtId="0" fontId="20" fillId="0" borderId="36" xfId="2" applyFont="1" applyBorder="1" applyAlignment="1">
      <alignment horizontal="left" vertical="center"/>
    </xf>
    <xf numFmtId="0" fontId="10" fillId="0" borderId="37" xfId="2" applyFont="1" applyBorder="1"/>
    <xf numFmtId="0" fontId="13" fillId="0" borderId="36" xfId="2" applyFont="1" applyBorder="1" applyAlignment="1">
      <alignment horizontal="left" vertical="center"/>
    </xf>
    <xf numFmtId="43" fontId="23" fillId="0" borderId="38" xfId="2" applyNumberFormat="1" applyFont="1" applyBorder="1" applyAlignment="1">
      <alignment horizontal="right"/>
    </xf>
    <xf numFmtId="43" fontId="23" fillId="0" borderId="37" xfId="2" applyNumberFormat="1" applyFont="1" applyBorder="1" applyAlignment="1">
      <alignment horizontal="right"/>
    </xf>
    <xf numFmtId="0" fontId="17" fillId="0" borderId="12" xfId="2" applyFont="1" applyBorder="1" applyAlignment="1">
      <alignment horizontal="left"/>
    </xf>
    <xf numFmtId="43" fontId="17" fillId="0" borderId="38" xfId="2" applyNumberFormat="1" applyFont="1" applyBorder="1" applyAlignment="1">
      <alignment horizontal="center"/>
    </xf>
    <xf numFmtId="0" fontId="17" fillId="0" borderId="37" xfId="2" applyFont="1" applyBorder="1" applyAlignment="1">
      <alignment horizontal="center"/>
    </xf>
    <xf numFmtId="43" fontId="17" fillId="0" borderId="38" xfId="2" applyNumberFormat="1" applyFont="1" applyBorder="1" applyAlignment="1">
      <alignment horizontal="center" wrapText="1"/>
    </xf>
    <xf numFmtId="43" fontId="17" fillId="0" borderId="37" xfId="2" applyNumberFormat="1" applyFont="1" applyBorder="1" applyAlignment="1">
      <alignment horizontal="center" wrapText="1"/>
    </xf>
    <xf numFmtId="43" fontId="17" fillId="0" borderId="37" xfId="2" applyNumberFormat="1" applyFont="1" applyBorder="1" applyAlignment="1">
      <alignment horizontal="center"/>
    </xf>
    <xf numFmtId="0" fontId="20" fillId="0" borderId="20" xfId="2" applyFont="1" applyBorder="1" applyAlignment="1">
      <alignment horizontal="left" vertical="center"/>
    </xf>
  </cellXfs>
  <cellStyles count="5">
    <cellStyle name="Comma" xfId="1" builtinId="3"/>
    <cellStyle name="Comma 2 2" xfId="4" xr:uid="{647C2FDD-E429-4A47-927C-19C798C947FB}"/>
    <cellStyle name="Hyperlink" xfId="3" builtinId="8"/>
    <cellStyle name="Normal" xfId="0" builtinId="0"/>
    <cellStyle name="Normal 2" xfId="2" xr:uid="{00000000-0005-0000-0000-000003000000}"/>
  </cellStyles>
  <dxfs count="7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3</xdr:row>
      <xdr:rowOff>66675</xdr:rowOff>
    </xdr:from>
    <xdr:ext cx="866775" cy="828675"/>
    <xdr:pic>
      <xdr:nvPicPr>
        <xdr:cNvPr id="4" name="image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5" y="4810125"/>
          <a:ext cx="8667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6</xdr:col>
      <xdr:colOff>133350</xdr:colOff>
      <xdr:row>3</xdr:row>
      <xdr:rowOff>95250</xdr:rowOff>
    </xdr:from>
    <xdr:ext cx="1390650" cy="80962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562475" y="4838700"/>
          <a:ext cx="1390650" cy="809625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4E1EE6-F6EF-45FC-9A77-D15C1C22CDE9}" name="Table1" displayName="Table1" ref="A2:D5" totalsRowShown="0" headerRowDxfId="75" headerRowBorderDxfId="74" tableBorderDxfId="73" headerRowCellStyle="Comma">
  <autoFilter ref="A2:D5" xr:uid="{FB4E1EE6-F6EF-45FC-9A77-D15C1C22CDE9}"/>
  <tableColumns count="4">
    <tableColumn id="1" xr3:uid="{3EC8035E-42DD-4E2C-8886-E90888AB3293}" name="Date"/>
    <tableColumn id="2" xr3:uid="{BAF9D7AA-1E05-4FD0-90C5-BDC00BD4C215}" name="Particulars"/>
    <tableColumn id="3" xr3:uid="{29B84D7C-CC4C-4387-B12A-211B24D183D2}" name="Obligated Amount"/>
    <tableColumn id="4" xr3:uid="{6876A6E8-16E8-4D9C-8F42-6F64842C64D1}" name="Remaining Bal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C2F674-4DDE-40F0-AE24-82F0C8FA2FF7}" name="Table2" displayName="Table2" ref="A2:D4" totalsRowShown="0" headerRowDxfId="72" headerRowBorderDxfId="71" headerRowCellStyle="Comma">
  <autoFilter ref="A2:D4" xr:uid="{F5C2F674-4DDE-40F0-AE24-82F0C8FA2FF7}"/>
  <tableColumns count="4">
    <tableColumn id="1" xr3:uid="{D0087F5F-DD6E-4CB4-935E-D8B04AE22445}" name="Date" dataDxfId="70"/>
    <tableColumn id="2" xr3:uid="{426F4C12-01CB-4DAD-BB40-34556E06892D}" name="Particulars"/>
    <tableColumn id="3" xr3:uid="{C4187FC5-CEA1-45C2-BA24-4CDA30242E1D}" name="Obligated Amount"/>
    <tableColumn id="4" xr3:uid="{41D00802-4ABB-4FA5-888B-C243A689C679}" name="Remaining Bala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D1CA87-45F7-4B6D-8522-67A28E90A2A6}" name="Table3" displayName="Table3" ref="A2:D4" totalsRowShown="0" headerRowDxfId="69" headerRowBorderDxfId="68" headerRowCellStyle="Comma">
  <autoFilter ref="A2:D4" xr:uid="{A9D1CA87-45F7-4B6D-8522-67A28E90A2A6}"/>
  <tableColumns count="4">
    <tableColumn id="1" xr3:uid="{59D295CC-C163-45DB-9806-1147ADEA1F63}" name="Date" dataDxfId="67"/>
    <tableColumn id="2" xr3:uid="{67B52253-6847-4BB7-93FC-C0852010D12D}" name="Particulars" dataDxfId="66"/>
    <tableColumn id="3" xr3:uid="{9620F524-572B-4E75-A997-184847234F94}" name="Obligated Amount" dataDxfId="65" dataCellStyle="Comma"/>
    <tableColumn id="4" xr3:uid="{0F99CB2F-9BFA-4D6B-B9CE-4FAF6344CA8C}" name="Remaining Balance" dataDxfId="64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64B39F-2F63-496C-9EF4-4A1D06BD23E1}" name="Table5" displayName="Table5" ref="A2:D5" totalsRowShown="0" headerRowDxfId="63" headerRowBorderDxfId="62" headerRowCellStyle="Comma">
  <autoFilter ref="A2:D5" xr:uid="{9664B39F-2F63-496C-9EF4-4A1D06BD23E1}"/>
  <tableColumns count="4">
    <tableColumn id="1" xr3:uid="{4587AD7F-BAA4-4DA5-9373-6316A0A1DA67}" name="Date"/>
    <tableColumn id="2" xr3:uid="{ABF9A974-FC81-4E31-9618-09946BFF4340}" name="Particulars"/>
    <tableColumn id="3" xr3:uid="{A00305A1-89BF-40C0-9638-5BDB5580708F}" name="Obligated Amount"/>
    <tableColumn id="4" xr3:uid="{8A1BCAAF-E66C-41BB-B369-0538B8581C8B}" name="Remaining Bala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85DBEB-64B1-4590-8E47-71167F40165B}" name="Table6" displayName="Table6" ref="A2:D5" totalsRowShown="0" headerRowDxfId="61" headerRowBorderDxfId="60" headerRowCellStyle="Comma">
  <autoFilter ref="A2:D5" xr:uid="{E085DBEB-64B1-4590-8E47-71167F40165B}"/>
  <tableColumns count="4">
    <tableColumn id="1" xr3:uid="{AF1F2D0B-1A61-4A2E-9AB4-3578B239A9AF}" name="Date"/>
    <tableColumn id="2" xr3:uid="{D2250C72-9EE9-4607-8C15-1D9ABCA13799}" name="Particulars"/>
    <tableColumn id="3" xr3:uid="{71C0EE9D-54E4-466F-8CC2-6FAB3566C188}" name="Obligated Amount"/>
    <tableColumn id="4" xr3:uid="{C1224A66-175A-4B7D-9118-0F11EF3DF7C4}" name="Remaining Bala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975FA7-5A97-4FBB-B2CC-750FF2DF83A2}" name="Table7" displayName="Table7" ref="A2:D5" totalsRowShown="0" headerRowDxfId="59" headerRowBorderDxfId="58" headerRowCellStyle="Comma">
  <autoFilter ref="A2:D5" xr:uid="{FC975FA7-5A97-4FBB-B2CC-750FF2DF83A2}"/>
  <tableColumns count="4">
    <tableColumn id="1" xr3:uid="{70898F2A-1548-423F-8A41-414152CB5971}" name="Date" dataDxfId="57"/>
    <tableColumn id="2" xr3:uid="{00756B03-53C5-44F3-878E-188DB52935FC}" name="Particulars" dataDxfId="56"/>
    <tableColumn id="3" xr3:uid="{7D5ED0DC-E42D-4DDB-8A9C-7B3723A1A7EA}" name="Obligated Amount" dataDxfId="55"/>
    <tableColumn id="4" xr3:uid="{8C55E67F-F317-4F1E-9F45-A291ECB10A91}" name="Remaining Balance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C0702-99E1-4EA1-9F41-CF891E6BFEB7}" name="Table8" displayName="Table8" ref="A2:D4" totalsRowShown="0" headerRowDxfId="53" headerRowBorderDxfId="52" headerRowCellStyle="Comma">
  <autoFilter ref="A2:D4" xr:uid="{1CEC0702-99E1-4EA1-9F41-CF891E6BFEB7}"/>
  <tableColumns count="4">
    <tableColumn id="1" xr3:uid="{940C8D3F-7910-4B1C-B55A-DD29F17D4C98}" name="Date"/>
    <tableColumn id="2" xr3:uid="{194A2483-2692-449C-9FD6-F4350730350B}" name="Particulars"/>
    <tableColumn id="3" xr3:uid="{BFD1E41B-EA42-4EEC-BDC0-2DCC03A62A2B}" name="Obligated Amount"/>
    <tableColumn id="4" xr3:uid="{8C9CDEE8-9311-4759-9703-B283D943ACA6}" name="Remaining Bala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E5043AE-E143-4766-9CA4-D5FC1E8D7208}" name="Table9" displayName="Table9" ref="A2:D5" totalsRowShown="0" headerRowDxfId="51" headerRowBorderDxfId="50" headerRowCellStyle="Comma">
  <autoFilter ref="A2:D5" xr:uid="{AE5043AE-E143-4766-9CA4-D5FC1E8D7208}"/>
  <tableColumns count="4">
    <tableColumn id="1" xr3:uid="{AF500229-E434-462B-97DF-2C07CA143D79}" name="Date"/>
    <tableColumn id="2" xr3:uid="{1551E20D-6004-4BFD-8D76-6FC0300B5C1E}" name="Particulars"/>
    <tableColumn id="3" xr3:uid="{F73CDDA1-60DD-4A8B-93FC-67F6B85D4382}" name="Obligated Amount"/>
    <tableColumn id="4" xr3:uid="{93F4D648-80B1-457D-9EB2-35BED4514B62}" name="Remaining Bala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AD7AFF-6F59-4F86-B7B1-E45CA5C82E1D}" name="Table10" displayName="Table10" ref="A2:D4" totalsRowShown="0" headerRowDxfId="49" headerRowBorderDxfId="48" headerRowCellStyle="Comma">
  <autoFilter ref="A2:D4" xr:uid="{5BAD7AFF-6F59-4F86-B7B1-E45CA5C82E1D}"/>
  <tableColumns count="4">
    <tableColumn id="1" xr3:uid="{F1CF0604-8595-4767-BB6F-B0B8F16C3DBA}" name="Date"/>
    <tableColumn id="2" xr3:uid="{6B987FD7-5632-4A51-BF08-6EC0A2E06510}" name="Particulars"/>
    <tableColumn id="3" xr3:uid="{430FD7FC-A8AC-4583-8533-A5A4404D3785}" name="Obligated Amount"/>
    <tableColumn id="4" xr3:uid="{9073233D-7B87-493D-86E0-E4EEAC112DC4}" name="Remaining Bal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B2952BA-1649-492E-A814-0DA01C838CB1}" name="Table11" displayName="Table11" ref="A2:D5" totalsRowShown="0" headerRowDxfId="47" headerRowBorderDxfId="46" headerRowCellStyle="Comma">
  <autoFilter ref="A2:D5" xr:uid="{EB2952BA-1649-492E-A814-0DA01C838CB1}"/>
  <tableColumns count="4">
    <tableColumn id="1" xr3:uid="{D05ED16A-71A2-42D3-90FB-D48DEF29E4E3}" name="Date"/>
    <tableColumn id="2" xr3:uid="{D1824B2D-E4F4-4093-823B-ED15276FFA1B}" name="Particulars"/>
    <tableColumn id="3" xr3:uid="{68003E9E-E520-4DE6-A53B-62FDE859A5CE}" name="Obligated Amount"/>
    <tableColumn id="4" xr3:uid="{7B3ED445-82D9-4744-A76F-847C068C7410}" name="Remaining Bala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7FF675-1D8A-467D-A25C-9FCEE4BA1B00}" name="Table4" displayName="Table4" ref="A2:D4" totalsRowShown="0" tableBorderDxfId="45">
  <autoFilter ref="A2:D4" xr:uid="{C67FF675-1D8A-467D-A25C-9FCEE4BA1B00}"/>
  <tableColumns count="4">
    <tableColumn id="1" xr3:uid="{E3B69313-AC60-4147-B293-6222B7428C02}" name="Date"/>
    <tableColumn id="2" xr3:uid="{D059E055-7349-4618-87BE-515E86BCDEB9}" name="Particulars"/>
    <tableColumn id="3" xr3:uid="{5E5D43E7-F9BF-4487-A3D3-8BD0216AE5DB}" name="Obligated Amount"/>
    <tableColumn id="4" xr3:uid="{4487B47A-5B2D-4B82-805E-9621522DFECE}" name="Remaining Balanc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E2E048-056C-4AE0-BCE5-3276DABED406}" name="Table12" displayName="Table12" ref="A2:D4" totalsRowShown="0">
  <autoFilter ref="A2:D4" xr:uid="{DEE2E048-056C-4AE0-BCE5-3276DABED406}"/>
  <tableColumns count="4">
    <tableColumn id="1" xr3:uid="{BEFA708A-7935-4706-BFAC-C454D4ADD270}" name="Date"/>
    <tableColumn id="2" xr3:uid="{4C4C451C-FD4F-466F-81D2-A7B413818587}" name="Particulars"/>
    <tableColumn id="3" xr3:uid="{55ACFD5D-FCEA-4719-A7A5-FADC35A225F8}" name="Obligated Amount"/>
    <tableColumn id="4" xr3:uid="{21CFE2A9-427A-4668-BC80-92D9FC17DBF5}" name="Remaining Balanc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2362E7-B7C0-4CFE-989C-02802A5EE41C}" name="Table13" displayName="Table13" ref="A2:D4" totalsRowShown="0">
  <autoFilter ref="A2:D4" xr:uid="{322362E7-B7C0-4CFE-989C-02802A5EE41C}"/>
  <tableColumns count="4">
    <tableColumn id="1" xr3:uid="{3C02E3B5-4BB8-40FA-AA6E-E8CE0A12CB88}" name="Date"/>
    <tableColumn id="2" xr3:uid="{E54D479A-053B-4E25-9E6A-EC30E09FFD91}" name="Particulars"/>
    <tableColumn id="3" xr3:uid="{4F52858A-23BA-4855-A066-5EB9BD5EB859}" name="Obligated Amount"/>
    <tableColumn id="4" xr3:uid="{B427643D-BF71-4EBC-A0FB-27C7B42F7317}" name="Remaining Balanc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043EB11-E725-48B0-B63E-B2D55DA20704}" name="Table14" displayName="Table14" ref="A2:D4" totalsRowShown="0">
  <autoFilter ref="A2:D4" xr:uid="{C043EB11-E725-48B0-B63E-B2D55DA20704}"/>
  <tableColumns count="4">
    <tableColumn id="1" xr3:uid="{58ED0F55-E3D4-4440-BC9E-DE0EFF565DC9}" name="Date"/>
    <tableColumn id="2" xr3:uid="{A2DBB203-AF38-464D-A3BE-88BA8B6B8046}" name="Particulars"/>
    <tableColumn id="3" xr3:uid="{DDBE768B-5F04-4AB9-B18D-3F0EA9294825}" name="Obligated Amount"/>
    <tableColumn id="4" xr3:uid="{9BDB8C49-2F2B-4A83-AA46-A10E1D36280E}" name="Remaining Balanc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62F005-5CC3-4CBC-B04D-2AD264AB330E}" name="Table15" displayName="Table15" ref="A2:D4" totalsRowShown="0">
  <autoFilter ref="A2:D4" xr:uid="{3562F005-5CC3-4CBC-B04D-2AD264AB330E}"/>
  <tableColumns count="4">
    <tableColumn id="1" xr3:uid="{11C07C11-1B88-42AB-8BC8-73B608D22B73}" name="Date"/>
    <tableColumn id="2" xr3:uid="{7E34C040-BDC7-4F9A-8B03-2D17D5983873}" name="Particulars"/>
    <tableColumn id="3" xr3:uid="{291C657E-3852-472B-8E01-DEAAF08BBD4A}" name="Obligated Amount"/>
    <tableColumn id="4" xr3:uid="{7A06264F-E60C-4358-B681-2490CC53905D}" name="Remaining Balance" dataDxfId="44" dataCellStyle="Comm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E003C48-E5A2-4C8B-97C3-F7A2B0C9FF20}" name="Table16" displayName="Table16" ref="A2:D4" totalsRowShown="0">
  <autoFilter ref="A2:D4" xr:uid="{6E003C48-E5A2-4C8B-97C3-F7A2B0C9FF20}"/>
  <tableColumns count="4">
    <tableColumn id="1" xr3:uid="{EAC633DB-25F8-42EB-856C-7A320AB3D9AD}" name="Date" dataDxfId="43"/>
    <tableColumn id="2" xr3:uid="{A56E0559-69C7-469A-9A9E-5D14FAF5414F}" name="Particulars" dataDxfId="42"/>
    <tableColumn id="3" xr3:uid="{AD762D19-1F13-48D5-82EC-4D718B5A2616}" name="Obligated Amount" dataDxfId="41" dataCellStyle="Comma"/>
    <tableColumn id="4" xr3:uid="{B8ADD702-6A62-4C56-A211-A544D97055E2}" name="Remaining Balance" dataDxfId="40" dataCellStyle="Comm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AB7A20-41BD-4319-ACAA-F1A836889E62}" name="Table17" displayName="Table17" ref="A2:D4" totalsRowShown="0">
  <autoFilter ref="A2:D4" xr:uid="{49AB7A20-41BD-4319-ACAA-F1A836889E62}"/>
  <tableColumns count="4">
    <tableColumn id="1" xr3:uid="{15D09B4C-01E0-408F-8ADB-A7784BFA7CA6}" name="Date" dataDxfId="39"/>
    <tableColumn id="2" xr3:uid="{CC3DED89-61DA-4D74-A53C-960B5B2B243A}" name="Particulars" dataDxfId="38"/>
    <tableColumn id="3" xr3:uid="{0F7BFCE5-1074-4D12-BB2C-0ED5A9D80331}" name="Obligated Amount" dataDxfId="37" dataCellStyle="Comma"/>
    <tableColumn id="4" xr3:uid="{77378396-AE6E-4D10-A510-70AB4B61F400}" name="Remaining Balance" dataDxfId="36" dataCellStyle="Comm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D06F74B-6E85-408F-A7D7-7D10BF485DAF}" name="Table18" displayName="Table18" ref="A2:D4" totalsRowShown="0" headerRowDxfId="35" headerRowBorderDxfId="34" tableBorderDxfId="33" totalsRowBorderDxfId="32">
  <autoFilter ref="A2:D4" xr:uid="{3D06F74B-6E85-408F-A7D7-7D10BF485DAF}"/>
  <tableColumns count="4">
    <tableColumn id="1" xr3:uid="{20709E0B-62CB-4B6E-8F01-56BE7DBD2988}" name="Date" dataDxfId="31"/>
    <tableColumn id="2" xr3:uid="{9D83AA6B-D953-42DD-884A-BF5569E8A5E9}" name="Particulars" dataDxfId="30"/>
    <tableColumn id="3" xr3:uid="{6268FAB1-C667-406A-88BE-979AE94A5B8B}" name="Obligated Amount" dataDxfId="29" dataCellStyle="Comma"/>
    <tableColumn id="4" xr3:uid="{4B5ED631-05A2-4DCA-BBAC-B41F3E90B1AC}" name="Remaining Balance" dataDxfId="28" dataCellStyle="Comm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DF2F483-4F39-4D4B-9967-B41043E3F5AA}" name="Table19" displayName="Table19" ref="A2:D4" totalsRowShown="0" tableBorderDxfId="27">
  <autoFilter ref="A2:D4" xr:uid="{CDF2F483-4F39-4D4B-9967-B41043E3F5AA}"/>
  <tableColumns count="4">
    <tableColumn id="1" xr3:uid="{8B09A672-70AD-4D01-86E1-5A28BABA92A7}" name="Date"/>
    <tableColumn id="2" xr3:uid="{3304EDE0-BAA4-434E-B980-61F696492557}" name="Particulars"/>
    <tableColumn id="3" xr3:uid="{979A8603-318A-4DB7-88DF-C1AF62596003}" name="Obligated Amount" dataCellStyle="Comma"/>
    <tableColumn id="4" xr3:uid="{52BCD8F3-CC14-464F-9DBE-DEC3D476A529}" name="Remaining Balance" dataCellStyle="Comm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032B7B4-985B-4060-892B-7F59B79F3F50}" name="Table20" displayName="Table20" ref="A2:D4" totalsRowShown="0">
  <autoFilter ref="A2:D4" xr:uid="{7032B7B4-985B-4060-892B-7F59B79F3F50}"/>
  <tableColumns count="4">
    <tableColumn id="1" xr3:uid="{5ABA2466-2314-4CF3-B1D5-9F0CE007938F}" name="Date"/>
    <tableColumn id="2" xr3:uid="{420CFDAE-8F9F-47B2-A015-FFA1ADEA17C7}" name="Particulars"/>
    <tableColumn id="3" xr3:uid="{88054DA9-6F09-4385-AC57-A2C274917EC7}" name="Obligated Amount" dataCellStyle="Comma"/>
    <tableColumn id="4" xr3:uid="{01BF9E0A-FC69-440E-8398-AEB2D158FEE0}" name="Remaining Balance" dataCellStyle="Comma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4BEC8CD-46EC-459C-B952-95E8ADA60733}" name="Table22" displayName="Table22" ref="A2:D4" totalsRowShown="0">
  <autoFilter ref="A2:D4" xr:uid="{94BEC8CD-46EC-459C-B952-95E8ADA60733}"/>
  <tableColumns count="4">
    <tableColumn id="1" xr3:uid="{92484EA6-CCA7-42CE-B7A3-0B4B399B3FA2}" name="Date"/>
    <tableColumn id="2" xr3:uid="{57E59F8C-A01D-44B1-B2E8-38996E3082C9}" name="Particulars"/>
    <tableColumn id="3" xr3:uid="{DD174C56-C6DD-45FB-8F04-483DB5B94865}" name="Obligated Amount" dataCellStyle="Comma"/>
    <tableColumn id="4" xr3:uid="{FFB7DF0C-C418-423B-885C-6F9D6ECBDAED}" name="Remaining Balance" dataCellStyle="Comm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E8694FC-6843-4625-AC1B-9580483D5A7B}" name="Table21" displayName="Table21" ref="A2:D4" totalsRowShown="0" headerRowBorderDxfId="26" tableBorderDxfId="25">
  <autoFilter ref="A2:D4" xr:uid="{2E8694FC-6843-4625-AC1B-9580483D5A7B}"/>
  <tableColumns count="4">
    <tableColumn id="1" xr3:uid="{21AAC330-EF56-42F2-A3F4-8A782A2DBF18}" name="Date" dataDxfId="24"/>
    <tableColumn id="2" xr3:uid="{E27EA2B0-3E96-4DB2-95D7-A086633DB21C}" name="Particulars" dataDxfId="23"/>
    <tableColumn id="3" xr3:uid="{F9DD9958-6C37-42CA-B717-C31890BDE3AF}" name="Obligated Amount" dataDxfId="22" dataCellStyle="Comma"/>
    <tableColumn id="4" xr3:uid="{A765B43F-B339-48FD-AF99-2ABFBC88B02C}" name="Remaining Balance" dataDxfId="21" dataCellStyle="Comm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B64AAB-92EF-40B9-97F8-B4504A2E255A}" name="Table23" displayName="Table23" ref="A2:D4" totalsRowShown="0" headerRowBorderDxfId="20" tableBorderDxfId="19" totalsRowBorderDxfId="18">
  <autoFilter ref="A2:D4" xr:uid="{F1B64AAB-92EF-40B9-97F8-B4504A2E255A}"/>
  <tableColumns count="4">
    <tableColumn id="1" xr3:uid="{28A7B411-C95E-40C9-9FF9-D8FDE3845BB5}" name="Date"/>
    <tableColumn id="2" xr3:uid="{69C759EE-BD81-4CF4-834F-EAF1588ECA94}" name="Particulars"/>
    <tableColumn id="3" xr3:uid="{0A00728A-4EEA-408E-BE87-946E119D5842}" name="Obligated Amount" dataCellStyle="Comma"/>
    <tableColumn id="4" xr3:uid="{B57E0682-68E5-4110-97C9-3734AD38BC2D}" name="Remaining Balance" dataCellStyle="Comma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5E9740A-4698-4B56-9D72-C9E701EE3E5A}" name="Table24" displayName="Table24" ref="A2:D4" totalsRowShown="0" headerRowDxfId="17" headerRowBorderDxfId="16" tableBorderDxfId="15" totalsRowBorderDxfId="14">
  <autoFilter ref="A2:D4" xr:uid="{65E9740A-4698-4B56-9D72-C9E701EE3E5A}"/>
  <tableColumns count="4">
    <tableColumn id="1" xr3:uid="{068BB60F-F5DB-4920-AC35-E96EEEC12B60}" name="Date" dataDxfId="13"/>
    <tableColumn id="2" xr3:uid="{4FC5FF64-6DFE-46F8-BF9D-C2CD543C3D14}" name="Particulars" dataDxfId="12"/>
    <tableColumn id="3" xr3:uid="{B4F11161-2F6A-4E43-A0F8-1A2FD4E8D1C0}" name="Obligated Amount" dataDxfId="11"/>
    <tableColumn id="4" xr3:uid="{1F150976-D9B5-462B-B6C0-52446894D289}" name="Remaining Balance" dataDxfId="1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5203F1-F107-44DE-A88B-529D0CD507F9}" name="Table25" displayName="Table25" ref="A2:D4" totalsRowShown="0" headerRowBorderDxfId="9" tableBorderDxfId="8">
  <autoFilter ref="A2:D4" xr:uid="{AC5203F1-F107-44DE-A88B-529D0CD507F9}"/>
  <tableColumns count="4">
    <tableColumn id="1" xr3:uid="{1825DAED-7FA3-4AA3-8943-803C722AE335}" name="Date"/>
    <tableColumn id="2" xr3:uid="{582F6CCD-6481-4040-93C5-1BC568AFF762}" name="Particulars"/>
    <tableColumn id="3" xr3:uid="{0876BE8E-9FDB-4F23-916F-DFAA5D33AF2B}" name="Obligated Amount"/>
    <tableColumn id="4" xr3:uid="{D7EC2430-B556-43A3-895A-35323D1C3A75}" name="Remaining Balanc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94E8977-B0C2-4931-80E3-8DE5CD35A590}" name="Table26" displayName="Table26" ref="A2:D4" totalsRowShown="0">
  <autoFilter ref="A2:D4" xr:uid="{294E8977-B0C2-4931-80E3-8DE5CD35A590}"/>
  <tableColumns count="4">
    <tableColumn id="1" xr3:uid="{9DD442B7-70A1-43BF-B448-3796ED9F9491}" name="Date" dataDxfId="7"/>
    <tableColumn id="2" xr3:uid="{8EA7E4CD-3D9F-47CF-82D2-F221B974FCD5}" name="Particulars" dataDxfId="6"/>
    <tableColumn id="3" xr3:uid="{2C5F642F-AD72-4E00-98C6-D18DF7DF1CAA}" name="Obligated Amount" dataDxfId="5"/>
    <tableColumn id="4" xr3:uid="{2965EBCF-A05D-42B7-8F13-7F1AA851D459}" name="Remaining Balance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F9149E0-86AC-4C39-BE31-1DF19D217D57}" name="Table27" displayName="Table27" ref="A2:D4" totalsRowShown="0">
  <autoFilter ref="A2:D4" xr:uid="{2F9149E0-86AC-4C39-BE31-1DF19D217D57}"/>
  <tableColumns count="4">
    <tableColumn id="1" xr3:uid="{E6E648AE-9963-41EF-8559-BB29CD707FA2}" name="Date" dataDxfId="3"/>
    <tableColumn id="2" xr3:uid="{AB7D14C4-3C91-4CC3-93C2-44DCC6ACE95B}" name="Particulars" dataDxfId="2"/>
    <tableColumn id="3" xr3:uid="{CEBB810B-EBC1-47A7-AD4C-2B136112E633}" name="Obligated Amount" dataDxfId="1"/>
    <tableColumn id="4" xr3:uid="{2C83DF49-4024-4C1D-8886-E71C123B1789}" name="Remaining Bala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G976"/>
  <sheetViews>
    <sheetView workbookViewId="0">
      <selection activeCell="D16" sqref="D16:F16"/>
    </sheetView>
  </sheetViews>
  <sheetFormatPr defaultColWidth="14.42578125" defaultRowHeight="15" customHeight="1" x14ac:dyDescent="0.25"/>
  <cols>
    <col min="1" max="2" width="7.42578125" style="12" customWidth="1"/>
    <col min="3" max="3" width="24" style="12" customWidth="1"/>
    <col min="4" max="4" width="10" style="12" customWidth="1"/>
    <col min="5" max="5" width="10.140625" style="12" customWidth="1"/>
    <col min="6" max="6" width="9.85546875" style="12" customWidth="1"/>
    <col min="7" max="7" width="24.28515625" style="12" customWidth="1"/>
    <col min="8" max="26" width="8.85546875" style="12" customWidth="1"/>
    <col min="27" max="16384" width="14.42578125" style="12"/>
  </cols>
  <sheetData>
    <row r="1" spans="1:7" s="60" customFormat="1" ht="21" x14ac:dyDescent="0.35">
      <c r="A1" s="113" t="s">
        <v>80</v>
      </c>
      <c r="B1" s="113"/>
      <c r="C1" s="112" t="s">
        <v>53</v>
      </c>
      <c r="D1" s="112"/>
      <c r="E1" s="112"/>
      <c r="F1" s="112"/>
      <c r="G1" s="61"/>
    </row>
    <row r="2" spans="1:7" ht="15.75" customHeight="1" x14ac:dyDescent="0.25">
      <c r="A2" s="59"/>
      <c r="B2" s="59"/>
      <c r="C2" s="59"/>
      <c r="D2" s="59"/>
      <c r="E2" s="59"/>
      <c r="F2" s="59"/>
      <c r="G2" s="59"/>
    </row>
    <row r="3" spans="1:7" ht="15.75" customHeight="1" thickBot="1" x14ac:dyDescent="0.3"/>
    <row r="4" spans="1:7" ht="15.75" customHeight="1" x14ac:dyDescent="0.25">
      <c r="A4" s="114"/>
      <c r="B4" s="115"/>
      <c r="C4" s="120" t="s">
        <v>32</v>
      </c>
      <c r="D4" s="121"/>
      <c r="E4" s="121"/>
      <c r="F4" s="122" t="s">
        <v>33</v>
      </c>
      <c r="G4" s="124" t="s">
        <v>34</v>
      </c>
    </row>
    <row r="5" spans="1:7" ht="15.75" customHeight="1" x14ac:dyDescent="0.25">
      <c r="A5" s="116"/>
      <c r="B5" s="117"/>
      <c r="C5" s="127" t="s">
        <v>35</v>
      </c>
      <c r="D5" s="128"/>
      <c r="E5" s="128"/>
      <c r="F5" s="123"/>
      <c r="G5" s="125"/>
    </row>
    <row r="6" spans="1:7" ht="15.75" customHeight="1" x14ac:dyDescent="0.25">
      <c r="A6" s="116"/>
      <c r="B6" s="117"/>
      <c r="C6" s="129" t="s">
        <v>36</v>
      </c>
      <c r="D6" s="130"/>
      <c r="E6" s="130"/>
      <c r="F6" s="131" t="s">
        <v>37</v>
      </c>
      <c r="G6" s="125"/>
    </row>
    <row r="7" spans="1:7" ht="26.25" customHeight="1" x14ac:dyDescent="0.25">
      <c r="A7" s="118"/>
      <c r="B7" s="119"/>
      <c r="C7" s="132" t="s">
        <v>38</v>
      </c>
      <c r="D7" s="133"/>
      <c r="E7" s="133"/>
      <c r="F7" s="123"/>
      <c r="G7" s="126"/>
    </row>
    <row r="8" spans="1:7" ht="15.75" customHeight="1" thickBot="1" x14ac:dyDescent="0.35">
      <c r="A8" s="13"/>
      <c r="B8" s="14"/>
      <c r="C8" s="15"/>
      <c r="D8" s="15"/>
      <c r="E8" s="15"/>
      <c r="F8" s="16"/>
      <c r="G8" s="17"/>
    </row>
    <row r="9" spans="1:7" ht="15.75" customHeight="1" x14ac:dyDescent="0.25">
      <c r="A9" s="18" t="s">
        <v>39</v>
      </c>
      <c r="B9" s="19"/>
      <c r="C9" s="20" t="s">
        <v>40</v>
      </c>
      <c r="D9" s="21"/>
      <c r="E9" s="40" t="s">
        <v>41</v>
      </c>
      <c r="F9" s="43">
        <v>45960</v>
      </c>
      <c r="G9" s="22"/>
    </row>
    <row r="10" spans="1:7" ht="15.75" customHeight="1" thickBot="1" x14ac:dyDescent="0.3">
      <c r="A10" s="23" t="s">
        <v>42</v>
      </c>
      <c r="B10" s="24"/>
      <c r="C10" s="39" t="s">
        <v>52</v>
      </c>
      <c r="D10" s="25"/>
      <c r="E10" s="24"/>
      <c r="F10" s="25"/>
      <c r="G10" s="26"/>
    </row>
    <row r="11" spans="1:7" ht="15.75" customHeight="1" x14ac:dyDescent="0.25">
      <c r="A11" s="27"/>
      <c r="B11" s="28"/>
      <c r="C11" s="28"/>
      <c r="D11" s="28"/>
      <c r="E11" s="28"/>
      <c r="F11" s="28"/>
      <c r="G11" s="29"/>
    </row>
    <row r="12" spans="1:7" ht="15.75" customHeight="1" x14ac:dyDescent="0.25">
      <c r="A12" s="134" t="s">
        <v>43</v>
      </c>
      <c r="B12" s="128"/>
      <c r="C12" s="128"/>
      <c r="D12" s="128"/>
      <c r="E12" s="128"/>
      <c r="F12" s="128"/>
      <c r="G12" s="135"/>
    </row>
    <row r="13" spans="1:7" ht="15.75" customHeight="1" x14ac:dyDescent="0.25">
      <c r="A13" s="27"/>
      <c r="B13" s="28"/>
      <c r="C13" s="28"/>
      <c r="D13" s="41"/>
      <c r="E13" s="28"/>
      <c r="F13" s="28"/>
      <c r="G13" s="29"/>
    </row>
    <row r="14" spans="1:7" ht="15.75" customHeight="1" x14ac:dyDescent="0.25">
      <c r="A14" s="136" t="s">
        <v>44</v>
      </c>
      <c r="B14" s="130"/>
      <c r="C14" s="130"/>
      <c r="D14" s="140" t="str">
        <f>C1</f>
        <v>Salaries &amp; Wages-Regular</v>
      </c>
      <c r="E14" s="141"/>
      <c r="F14" s="141"/>
      <c r="G14" s="30" t="str">
        <f>VLOOKUP(C1,Reference!B2:C28,2,FALSE)</f>
        <v>5-01-01-010</v>
      </c>
    </row>
    <row r="15" spans="1:7" ht="15.75" customHeight="1" x14ac:dyDescent="0.25">
      <c r="A15" s="137" t="s">
        <v>45</v>
      </c>
      <c r="B15" s="138"/>
      <c r="C15" s="138"/>
      <c r="D15" s="145">
        <f>VLOOKUP(C1,Reference!B2:D28,3,FALSE)</f>
        <v>926928</v>
      </c>
      <c r="E15" s="146"/>
      <c r="F15" s="146"/>
      <c r="G15" s="31"/>
    </row>
    <row r="16" spans="1:7" ht="15.75" customHeight="1" x14ac:dyDescent="0.25">
      <c r="A16" s="139" t="s">
        <v>46</v>
      </c>
      <c r="B16" s="138"/>
      <c r="C16" s="138"/>
      <c r="D16" s="143">
        <f>VLOOKUP(C1,Reference!B2:E28,4,)</f>
        <v>896000</v>
      </c>
      <c r="E16" s="147"/>
      <c r="F16" s="147"/>
      <c r="G16" s="31"/>
    </row>
    <row r="17" spans="1:7" ht="15.75" customHeight="1" x14ac:dyDescent="0.25">
      <c r="A17" s="139" t="s">
        <v>47</v>
      </c>
      <c r="B17" s="138"/>
      <c r="C17" s="138"/>
      <c r="D17" s="143"/>
      <c r="E17" s="144"/>
      <c r="F17" s="144"/>
      <c r="G17" s="31"/>
    </row>
    <row r="18" spans="1:7" ht="15.75" customHeight="1" x14ac:dyDescent="0.25">
      <c r="A18" s="148" t="s">
        <v>48</v>
      </c>
      <c r="B18" s="133"/>
      <c r="C18" s="133"/>
      <c r="D18" s="143"/>
      <c r="E18" s="144"/>
      <c r="F18" s="144"/>
      <c r="G18" s="32"/>
    </row>
    <row r="19" spans="1:7" ht="15.75" customHeight="1" x14ac:dyDescent="0.25">
      <c r="A19" s="27"/>
      <c r="B19" s="28"/>
      <c r="C19" s="28"/>
      <c r="D19" s="28"/>
      <c r="E19" s="28"/>
      <c r="F19" s="28"/>
      <c r="G19" s="29"/>
    </row>
    <row r="20" spans="1:7" ht="15.75" customHeight="1" x14ac:dyDescent="0.25">
      <c r="A20" s="142"/>
      <c r="B20" s="128"/>
      <c r="C20" s="28"/>
      <c r="D20" s="28"/>
      <c r="E20" s="28" t="s">
        <v>49</v>
      </c>
      <c r="F20" s="28"/>
      <c r="G20" s="29"/>
    </row>
    <row r="21" spans="1:7" ht="15.75" customHeight="1" x14ac:dyDescent="0.25">
      <c r="A21" s="27"/>
      <c r="B21" s="28"/>
      <c r="C21" s="28"/>
      <c r="D21" s="28"/>
      <c r="E21" s="28"/>
      <c r="F21" s="28"/>
      <c r="G21" s="29"/>
    </row>
    <row r="22" spans="1:7" ht="15.75" customHeight="1" x14ac:dyDescent="0.25">
      <c r="A22" s="27"/>
      <c r="B22" s="28"/>
      <c r="C22" s="28"/>
      <c r="D22" s="28"/>
      <c r="E22" s="33" t="s">
        <v>50</v>
      </c>
      <c r="F22" s="33"/>
      <c r="G22" s="38"/>
    </row>
    <row r="23" spans="1:7" ht="15.75" customHeight="1" x14ac:dyDescent="0.25">
      <c r="A23" s="134"/>
      <c r="B23" s="128"/>
      <c r="C23" s="128"/>
      <c r="D23" s="28"/>
      <c r="E23" s="42" t="s">
        <v>51</v>
      </c>
      <c r="F23" s="34"/>
      <c r="G23" s="29"/>
    </row>
    <row r="24" spans="1:7" ht="15.75" customHeight="1" thickBot="1" x14ac:dyDescent="0.3">
      <c r="A24" s="35"/>
      <c r="B24" s="36"/>
      <c r="C24" s="36"/>
      <c r="D24" s="36"/>
      <c r="E24" s="36"/>
      <c r="F24" s="36"/>
      <c r="G24" s="37"/>
    </row>
    <row r="25" spans="1:7" ht="15.75" customHeight="1" x14ac:dyDescent="0.25"/>
    <row r="26" spans="1:7" ht="15.75" customHeight="1" x14ac:dyDescent="0.25"/>
    <row r="27" spans="1:7" ht="15.75" customHeight="1" x14ac:dyDescent="0.25"/>
    <row r="28" spans="1:7" ht="15.75" customHeight="1" x14ac:dyDescent="0.25"/>
    <row r="29" spans="1:7" ht="15.75" customHeight="1" x14ac:dyDescent="0.25"/>
    <row r="30" spans="1:7" ht="15.75" customHeight="1" x14ac:dyDescent="0.25"/>
    <row r="31" spans="1:7" ht="15.75" customHeight="1" x14ac:dyDescent="0.25"/>
    <row r="32" spans="1:7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mergeCells count="23">
    <mergeCell ref="A20:B20"/>
    <mergeCell ref="A23:C23"/>
    <mergeCell ref="D18:F18"/>
    <mergeCell ref="D15:F15"/>
    <mergeCell ref="D16:F16"/>
    <mergeCell ref="D17:F17"/>
    <mergeCell ref="A18:C18"/>
    <mergeCell ref="A12:G12"/>
    <mergeCell ref="A14:C14"/>
    <mergeCell ref="A15:C15"/>
    <mergeCell ref="A16:C16"/>
    <mergeCell ref="A17:C17"/>
    <mergeCell ref="D14:F14"/>
    <mergeCell ref="G4:G7"/>
    <mergeCell ref="C5:E5"/>
    <mergeCell ref="C6:E6"/>
    <mergeCell ref="F6:F7"/>
    <mergeCell ref="C7:E7"/>
    <mergeCell ref="C1:F1"/>
    <mergeCell ref="A1:B1"/>
    <mergeCell ref="A4:B7"/>
    <mergeCell ref="C4:E4"/>
    <mergeCell ref="F4:F5"/>
  </mergeCells>
  <pageMargins left="0.55000000000000004" right="0" top="0.37" bottom="0.75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573E34-770A-4EA5-880D-AB19A9214115}">
          <x14:formula1>
            <xm:f>Reference!$B$2:$B$28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8"/>
  <sheetViews>
    <sheetView tabSelected="1" workbookViewId="0">
      <selection activeCell="I19" sqref="I19"/>
    </sheetView>
  </sheetViews>
  <sheetFormatPr defaultRowHeight="15" x14ac:dyDescent="0.25"/>
  <cols>
    <col min="1" max="1" width="11" style="110" customWidth="1"/>
    <col min="2" max="2" width="56.5703125" style="109" bestFit="1" customWidth="1"/>
    <col min="3" max="3" width="17" style="109" bestFit="1" customWidth="1"/>
    <col min="4" max="4" width="18.140625" style="111" bestFit="1" customWidth="1"/>
    <col min="5" max="5" width="17.5703125" style="109" bestFit="1" customWidth="1"/>
    <col min="6" max="16384" width="9.140625" style="109"/>
  </cols>
  <sheetData>
    <row r="1" spans="1:5" ht="37.5" x14ac:dyDescent="0.3">
      <c r="A1" s="98" t="s">
        <v>24</v>
      </c>
      <c r="B1" s="99" t="s">
        <v>79</v>
      </c>
      <c r="C1" s="99" t="s">
        <v>0</v>
      </c>
      <c r="D1" s="108" t="s">
        <v>81</v>
      </c>
      <c r="E1" s="105" t="s">
        <v>82</v>
      </c>
    </row>
    <row r="2" spans="1:5" ht="15.75" x14ac:dyDescent="0.25">
      <c r="A2" s="100">
        <v>1</v>
      </c>
      <c r="B2" s="101" t="s">
        <v>53</v>
      </c>
      <c r="C2" s="102" t="s">
        <v>1</v>
      </c>
      <c r="D2" s="107">
        <v>926928</v>
      </c>
      <c r="E2" s="106">
        <f>'1'!D1</f>
        <v>896000</v>
      </c>
    </row>
    <row r="3" spans="1:5" ht="15.75" x14ac:dyDescent="0.25">
      <c r="A3" s="100">
        <v>2</v>
      </c>
      <c r="B3" s="101" t="s">
        <v>54</v>
      </c>
      <c r="C3" s="102" t="s">
        <v>2</v>
      </c>
      <c r="D3" s="107">
        <v>72000</v>
      </c>
      <c r="E3" s="106">
        <f>'2'!D1</f>
        <v>49500</v>
      </c>
    </row>
    <row r="4" spans="1:5" ht="15.75" x14ac:dyDescent="0.25">
      <c r="A4" s="100">
        <v>3</v>
      </c>
      <c r="B4" s="101" t="s">
        <v>55</v>
      </c>
      <c r="C4" s="103" t="s">
        <v>3</v>
      </c>
      <c r="D4" s="107">
        <v>21000</v>
      </c>
      <c r="E4" s="106">
        <f>'3'!D1</f>
        <v>20450</v>
      </c>
    </row>
    <row r="5" spans="1:5" ht="15.75" x14ac:dyDescent="0.25">
      <c r="A5" s="100">
        <v>4</v>
      </c>
      <c r="B5" s="101" t="s">
        <v>56</v>
      </c>
      <c r="C5" s="103" t="s">
        <v>4</v>
      </c>
      <c r="D5" s="107">
        <v>50000</v>
      </c>
      <c r="E5" s="106">
        <f>'4'!D1</f>
        <v>48500</v>
      </c>
    </row>
    <row r="6" spans="1:5" ht="15.75" x14ac:dyDescent="0.25">
      <c r="A6" s="100">
        <v>5</v>
      </c>
      <c r="B6" s="101" t="s">
        <v>57</v>
      </c>
      <c r="C6" s="103" t="s">
        <v>5</v>
      </c>
      <c r="D6" s="107">
        <v>77244</v>
      </c>
      <c r="E6" s="106">
        <f>'5'!D1</f>
        <v>48000</v>
      </c>
    </row>
    <row r="7" spans="1:5" ht="15.75" x14ac:dyDescent="0.25">
      <c r="A7" s="100">
        <v>6</v>
      </c>
      <c r="B7" s="101" t="s">
        <v>58</v>
      </c>
      <c r="C7" s="103" t="s">
        <v>6</v>
      </c>
      <c r="D7" s="107">
        <v>15000</v>
      </c>
      <c r="E7" s="106">
        <f>'6'!D1</f>
        <v>14500</v>
      </c>
    </row>
    <row r="8" spans="1:5" ht="15.75" x14ac:dyDescent="0.25">
      <c r="A8" s="100">
        <v>7</v>
      </c>
      <c r="B8" s="101" t="s">
        <v>59</v>
      </c>
      <c r="C8" s="103" t="s">
        <v>7</v>
      </c>
      <c r="D8" s="107">
        <v>77244</v>
      </c>
      <c r="E8" s="106">
        <f>'7'!D1</f>
        <v>77000</v>
      </c>
    </row>
    <row r="9" spans="1:5" ht="15.75" x14ac:dyDescent="0.25">
      <c r="A9" s="100">
        <v>8</v>
      </c>
      <c r="B9" s="101" t="s">
        <v>60</v>
      </c>
      <c r="C9" s="103" t="s">
        <v>7</v>
      </c>
      <c r="D9" s="107">
        <v>15000</v>
      </c>
      <c r="E9" s="106">
        <f>'8'!D1</f>
        <v>13500</v>
      </c>
    </row>
    <row r="10" spans="1:5" ht="15.75" x14ac:dyDescent="0.25">
      <c r="A10" s="100">
        <v>9</v>
      </c>
      <c r="B10" s="101" t="s">
        <v>61</v>
      </c>
      <c r="C10" s="103" t="s">
        <v>7</v>
      </c>
      <c r="D10" s="107">
        <v>21000</v>
      </c>
      <c r="E10" s="106">
        <f>'9'!D1</f>
        <v>20500</v>
      </c>
    </row>
    <row r="11" spans="1:5" ht="15.75" x14ac:dyDescent="0.25">
      <c r="A11" s="100">
        <v>10</v>
      </c>
      <c r="B11" s="101" t="s">
        <v>62</v>
      </c>
      <c r="C11" s="103" t="s">
        <v>7</v>
      </c>
      <c r="D11" s="107">
        <v>9000</v>
      </c>
      <c r="E11" s="106">
        <f>'10'!D1</f>
        <v>8000</v>
      </c>
    </row>
    <row r="12" spans="1:5" ht="15.75" x14ac:dyDescent="0.25">
      <c r="A12" s="100">
        <v>11</v>
      </c>
      <c r="B12" s="101" t="s">
        <v>63</v>
      </c>
      <c r="C12" s="103" t="s">
        <v>8</v>
      </c>
      <c r="D12" s="107">
        <v>111232</v>
      </c>
      <c r="E12" s="106">
        <f>'11'!D1</f>
        <v>74688</v>
      </c>
    </row>
    <row r="13" spans="1:5" ht="15.75" x14ac:dyDescent="0.25">
      <c r="A13" s="100">
        <v>12</v>
      </c>
      <c r="B13" s="101" t="s">
        <v>64</v>
      </c>
      <c r="C13" s="103" t="s">
        <v>9</v>
      </c>
      <c r="D13" s="107">
        <v>7200</v>
      </c>
      <c r="E13" s="106">
        <f>'11'!D1</f>
        <v>74688</v>
      </c>
    </row>
    <row r="14" spans="1:5" ht="15.75" x14ac:dyDescent="0.25">
      <c r="A14" s="100">
        <v>13</v>
      </c>
      <c r="B14" s="101" t="s">
        <v>65</v>
      </c>
      <c r="C14" s="103" t="s">
        <v>10</v>
      </c>
      <c r="D14" s="107">
        <v>23174</v>
      </c>
      <c r="E14" s="106">
        <f>'13'!D1</f>
        <v>23000</v>
      </c>
    </row>
    <row r="15" spans="1:5" ht="15.75" x14ac:dyDescent="0.25">
      <c r="A15" s="100">
        <v>14</v>
      </c>
      <c r="B15" s="101" t="s">
        <v>66</v>
      </c>
      <c r="C15" s="103" t="s">
        <v>11</v>
      </c>
      <c r="D15" s="107">
        <v>3600</v>
      </c>
      <c r="E15" s="106">
        <f>'14'!D1</f>
        <v>3500</v>
      </c>
    </row>
    <row r="16" spans="1:5" ht="15.75" x14ac:dyDescent="0.25">
      <c r="A16" s="100">
        <v>15</v>
      </c>
      <c r="B16" s="101" t="s">
        <v>67</v>
      </c>
      <c r="C16" s="103" t="s">
        <v>77</v>
      </c>
      <c r="D16" s="107">
        <v>5000</v>
      </c>
      <c r="E16" s="106">
        <f>'15'!D1</f>
        <v>5000</v>
      </c>
    </row>
    <row r="17" spans="1:5" ht="15.75" x14ac:dyDescent="0.25">
      <c r="A17" s="100">
        <v>16</v>
      </c>
      <c r="B17" s="101" t="s">
        <v>68</v>
      </c>
      <c r="C17" s="103" t="s">
        <v>12</v>
      </c>
      <c r="D17" s="107">
        <v>0</v>
      </c>
      <c r="E17" s="106">
        <f>'16'!D1</f>
        <v>0</v>
      </c>
    </row>
    <row r="18" spans="1:5" ht="15.75" x14ac:dyDescent="0.25">
      <c r="A18" s="100">
        <v>17</v>
      </c>
      <c r="B18" s="101" t="s">
        <v>69</v>
      </c>
      <c r="C18" s="103" t="s">
        <v>12</v>
      </c>
      <c r="D18" s="107">
        <v>0</v>
      </c>
      <c r="E18" s="106">
        <f>'17'!D1</f>
        <v>0</v>
      </c>
    </row>
    <row r="19" spans="1:5" ht="15.75" x14ac:dyDescent="0.25">
      <c r="A19" s="100">
        <v>18</v>
      </c>
      <c r="B19" s="104" t="s">
        <v>13</v>
      </c>
      <c r="C19" s="103" t="s">
        <v>14</v>
      </c>
      <c r="D19" s="107">
        <v>20000</v>
      </c>
      <c r="E19" s="106">
        <f>'18'!D1</f>
        <v>20000</v>
      </c>
    </row>
    <row r="20" spans="1:5" ht="15.75" x14ac:dyDescent="0.25">
      <c r="A20" s="100">
        <v>19</v>
      </c>
      <c r="B20" s="104" t="s">
        <v>25</v>
      </c>
      <c r="C20" s="103" t="s">
        <v>14</v>
      </c>
      <c r="D20" s="107">
        <v>10000</v>
      </c>
      <c r="E20" s="106">
        <f>'19'!D1</f>
        <v>10000</v>
      </c>
    </row>
    <row r="21" spans="1:5" ht="15.75" x14ac:dyDescent="0.25">
      <c r="A21" s="100">
        <v>20</v>
      </c>
      <c r="B21" s="104" t="s">
        <v>70</v>
      </c>
      <c r="C21" s="103" t="s">
        <v>78</v>
      </c>
      <c r="D21" s="107">
        <v>68000</v>
      </c>
      <c r="E21" s="106">
        <f>'20'!D1</f>
        <v>68000</v>
      </c>
    </row>
    <row r="22" spans="1:5" ht="15.75" x14ac:dyDescent="0.25">
      <c r="A22" s="100">
        <v>21</v>
      </c>
      <c r="B22" s="104" t="s">
        <v>26</v>
      </c>
      <c r="C22" s="103" t="s">
        <v>27</v>
      </c>
      <c r="D22" s="107">
        <v>84000</v>
      </c>
      <c r="E22" s="106">
        <f>'21'!D1</f>
        <v>84000</v>
      </c>
    </row>
    <row r="23" spans="1:5" ht="15.75" x14ac:dyDescent="0.25">
      <c r="A23" s="100">
        <v>22</v>
      </c>
      <c r="B23" s="104" t="s">
        <v>15</v>
      </c>
      <c r="C23" s="103" t="s">
        <v>16</v>
      </c>
      <c r="D23" s="107">
        <v>50000</v>
      </c>
      <c r="E23" s="106">
        <f>'22'!D1</f>
        <v>50000</v>
      </c>
    </row>
    <row r="24" spans="1:5" ht="15.75" x14ac:dyDescent="0.25">
      <c r="A24" s="100">
        <v>23</v>
      </c>
      <c r="B24" s="104" t="s">
        <v>17</v>
      </c>
      <c r="C24" s="103" t="s">
        <v>18</v>
      </c>
      <c r="D24" s="107">
        <v>546000</v>
      </c>
      <c r="E24" s="106">
        <f>'23'!D1</f>
        <v>540000</v>
      </c>
    </row>
    <row r="25" spans="1:5" ht="15.75" x14ac:dyDescent="0.25">
      <c r="A25" s="100">
        <v>24</v>
      </c>
      <c r="B25" s="104" t="s">
        <v>19</v>
      </c>
      <c r="C25" s="103" t="s">
        <v>20</v>
      </c>
      <c r="D25" s="107">
        <v>50000</v>
      </c>
      <c r="E25" s="106">
        <f>'24'!D1</f>
        <v>50000</v>
      </c>
    </row>
    <row r="26" spans="1:5" ht="15.75" x14ac:dyDescent="0.25">
      <c r="A26" s="100">
        <v>25</v>
      </c>
      <c r="B26" s="104" t="s">
        <v>28</v>
      </c>
      <c r="C26" s="103" t="s">
        <v>29</v>
      </c>
      <c r="D26" s="107">
        <v>100000</v>
      </c>
      <c r="E26" s="106">
        <f>'25'!D1</f>
        <v>100000</v>
      </c>
    </row>
    <row r="27" spans="1:5" ht="15.75" x14ac:dyDescent="0.25">
      <c r="A27" s="100">
        <v>26</v>
      </c>
      <c r="B27" s="104" t="s">
        <v>30</v>
      </c>
      <c r="C27" s="103" t="s">
        <v>29</v>
      </c>
      <c r="D27" s="107">
        <v>20000</v>
      </c>
      <c r="E27" s="106">
        <f>'26'!D1</f>
        <v>20000</v>
      </c>
    </row>
    <row r="28" spans="1:5" ht="15.75" x14ac:dyDescent="0.25">
      <c r="A28" s="100">
        <v>27</v>
      </c>
      <c r="B28" s="104" t="s">
        <v>21</v>
      </c>
      <c r="C28" s="103" t="s">
        <v>22</v>
      </c>
      <c r="D28" s="107">
        <v>201710</v>
      </c>
      <c r="E28" s="106">
        <f>'27'!D1</f>
        <v>200000</v>
      </c>
    </row>
  </sheetData>
  <sheetProtection selectLockedCells="1"/>
  <protectedRanges>
    <protectedRange sqref="A1:C28 E1:E28" name="RefRange"/>
  </protectedRanges>
  <hyperlinks>
    <hyperlink ref="B2" location="'1'!A1" display="Salaries &amp; Wages-Regular" xr:uid="{AA12366F-9169-40A4-93F9-6014084AD1E9}"/>
    <hyperlink ref="B3" location="'2'!A1" display="PERA (2)" xr:uid="{33A21A16-3351-4E00-A0BB-AE248F332072}"/>
    <hyperlink ref="B4" location="'3'!A1" display="Clothing/Uniform Allowance" xr:uid="{84419229-54C6-40F4-A713-B27833B87408}"/>
    <hyperlink ref="B5" location="'4'!A1" display="Overtime and Night Pay" xr:uid="{B263282A-5324-431E-A2FB-511A9374EF9C}"/>
    <hyperlink ref="B6" location="'5'!A1" display="Year End Bonus" xr:uid="{59FB59B8-7A69-496A-8A3A-A11070BDA026}"/>
    <hyperlink ref="B7" location="'6'!A1" display="Cash Gift" xr:uid="{02A76A67-ACE0-4AB5-B623-E318C94F0FAF}"/>
    <hyperlink ref="B8" location="'7'!A1" display="Other Bonuses &amp; Allowances (Mid-Year)" xr:uid="{5CC5870D-6C62-430D-A850-568C5C6883FD}"/>
    <hyperlink ref="B9" location="'8'!A1" display="Other Bonuses &amp; Allowances (PEI)" xr:uid="{AABAF801-491E-4889-8456-3EF88C1E36C2}"/>
    <hyperlink ref="B10" location="'9'!A1" display="Other Bonuses &amp; Allowances (Med)" xr:uid="{1FDBD30C-8FB8-4642-BF74-755F2E0E6273}"/>
    <hyperlink ref="B11" location="'10'!A1" display="Other Bonuses &amp; Allowances (Anniv. Bonus)" xr:uid="{DEB1298D-55A2-4854-849F-15A19F8D8CC8}"/>
    <hyperlink ref="B12" location="'11'!A1" display="Retirement &amp; Life Insurance Premiums" xr:uid="{76D57585-A71A-435D-A2E5-D8E90912E12E}"/>
    <hyperlink ref="B13" location="'12'!A1" display="Pag-ibig Contributions" xr:uid="{A4891D99-F811-4F73-A9A5-89D1C118BEAD}"/>
    <hyperlink ref="B14" location="'13'!A1" display="Philhealth Contributions" xr:uid="{39390BB1-15A8-4DF7-B0C1-67998E0D914F}"/>
    <hyperlink ref="B15" location="'14'!A1" display="Employees Compensation Ins. Premiums" xr:uid="{91D74D82-8793-479C-B274-63EB3953CB95}"/>
    <hyperlink ref="B16" location="'15'!A1" display="Terminal Leave Benefits" xr:uid="{E808E677-FFCE-4E1B-9D54-E1334C438DC8}"/>
    <hyperlink ref="B17" location="'16'!A1" display="Other Personnel Benefits (CNA)" xr:uid="{547C58B5-D9DF-4704-9C21-6F3E3763B2A5}"/>
    <hyperlink ref="B18" location="'17'!A1" display="Other Personnel Benefits (SRI)" xr:uid="{59EF6B21-B4D4-48BA-9DD5-FE3F49D0B6D7}"/>
    <hyperlink ref="B19" location="'18'!A1" display="Office Supplies Expenses" xr:uid="{14385236-029E-4379-9350-C5B2F3294B30}"/>
    <hyperlink ref="B20" location="'19'!A1" display="Office Supplies Expenses-Janitorial" xr:uid="{66ABC719-EF07-47DC-8053-504D7A3FE4B2}"/>
    <hyperlink ref="B21" location="'20'!A1" display="Semi-Expendable Machinery and Equipment Expenses" xr:uid="{1E64BFF2-309D-4601-9D94-C925828BEBEC}"/>
    <hyperlink ref="B22" location="'21'!A1" display="Electricity" xr:uid="{F989F1D1-57A8-4E8A-809E-93E67133C809}"/>
    <hyperlink ref="B23" location="'22'!A1" display="Internet Subscription Expenses" xr:uid="{8D1AA35C-F909-40FF-90E4-E572010EBACA}"/>
    <hyperlink ref="B24" location="'23'!A1" display="Other Professional Services" xr:uid="{AB354B70-5326-4F2F-BCE2-197330E0546F}"/>
    <hyperlink ref="B25" location="'24'!A1" display="Repairs &amp; Maint.-Machinery &amp; Equipment " xr:uid="{D43E735E-CF63-41A2-B21A-B92789020F35}"/>
    <hyperlink ref="B26" location="'25'!A1" display="Rent Expenses" xr:uid="{DBA0E329-9087-42D8-9D13-5681583E4573}"/>
    <hyperlink ref="B27" location="'26'!A1" display="Subscription Expenses" xr:uid="{21D238F0-178B-4B42-A899-9ADD6FCE9420}"/>
    <hyperlink ref="B28" location="'27'!A1" display="Other Maint. &amp; Operating Expenses" xr:uid="{380730A2-E517-4341-ADC6-AFD19412F65E}"/>
  </hyperlink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5"/>
  <sheetViews>
    <sheetView zoomScale="98" zoomScaleNormal="98" workbookViewId="0"/>
  </sheetViews>
  <sheetFormatPr defaultRowHeight="15.75" x14ac:dyDescent="0.25"/>
  <cols>
    <col min="1" max="1" width="12" style="4" customWidth="1"/>
    <col min="2" max="2" width="53" style="2" customWidth="1"/>
    <col min="3" max="3" width="23.140625" style="3" bestFit="1" customWidth="1"/>
    <col min="4" max="4" width="23.5703125" style="3" bestFit="1" customWidth="1"/>
  </cols>
  <sheetData>
    <row r="1" spans="1:4" ht="21" x14ac:dyDescent="0.25">
      <c r="A1" s="48" t="s">
        <v>71</v>
      </c>
      <c r="B1" s="10" t="s">
        <v>53</v>
      </c>
      <c r="C1" s="11" t="s">
        <v>1</v>
      </c>
      <c r="D1" s="47">
        <v>896000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49"/>
      <c r="B3" s="51" t="s">
        <v>76</v>
      </c>
      <c r="C3" s="50"/>
      <c r="D3" s="52">
        <v>900000</v>
      </c>
    </row>
    <row r="4" spans="1:4" x14ac:dyDescent="0.25">
      <c r="C4" s="3">
        <v>500</v>
      </c>
      <c r="D4" s="3">
        <v>899500</v>
      </c>
    </row>
    <row r="5" spans="1:4" x14ac:dyDescent="0.25">
      <c r="C5" s="3">
        <v>3500</v>
      </c>
      <c r="D5" s="3">
        <v>896000</v>
      </c>
    </row>
  </sheetData>
  <hyperlinks>
    <hyperlink ref="A1" location="Reference!A1" display="Reference" xr:uid="{FAC838BF-890D-4540-8B69-10F337F25202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"/>
  <sheetViews>
    <sheetView workbookViewId="0"/>
  </sheetViews>
  <sheetFormatPr defaultRowHeight="15.75" x14ac:dyDescent="0.25"/>
  <cols>
    <col min="1" max="1" width="13" style="4" customWidth="1"/>
    <col min="2" max="2" width="53" style="2" customWidth="1"/>
    <col min="3" max="3" width="22.7109375" style="3" customWidth="1"/>
    <col min="4" max="4" width="23" style="3" customWidth="1"/>
  </cols>
  <sheetData>
    <row r="1" spans="1:4" ht="21" x14ac:dyDescent="0.25">
      <c r="A1" s="48" t="s">
        <v>71</v>
      </c>
      <c r="B1" s="10" t="s">
        <v>54</v>
      </c>
      <c r="C1" s="11" t="s">
        <v>2</v>
      </c>
      <c r="D1" s="47">
        <v>49500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B3" s="51" t="s">
        <v>76</v>
      </c>
      <c r="C3" s="57"/>
      <c r="D3" s="58">
        <v>50000</v>
      </c>
    </row>
    <row r="4" spans="1:4" x14ac:dyDescent="0.25">
      <c r="C4" s="3">
        <v>500</v>
      </c>
      <c r="D4" s="3">
        <v>49500</v>
      </c>
    </row>
  </sheetData>
  <hyperlinks>
    <hyperlink ref="A1" location="Reference!A1" display="Reference" xr:uid="{34370794-E036-431F-8DB1-4D13EF2109AE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4"/>
  <sheetViews>
    <sheetView workbookViewId="0"/>
  </sheetViews>
  <sheetFormatPr defaultRowHeight="15.75" x14ac:dyDescent="0.25"/>
  <cols>
    <col min="1" max="1" width="11.85546875" style="4" bestFit="1" customWidth="1"/>
    <col min="2" max="2" width="53" style="2" customWidth="1"/>
    <col min="3" max="3" width="22.7109375" style="3" customWidth="1"/>
    <col min="4" max="4" width="23" style="3" customWidth="1"/>
    <col min="6" max="6" width="32.5703125" customWidth="1"/>
    <col min="7" max="7" width="10.5703125" style="44" bestFit="1" customWidth="1"/>
  </cols>
  <sheetData>
    <row r="1" spans="1:7" ht="21" x14ac:dyDescent="0.25">
      <c r="A1" s="48" t="s">
        <v>71</v>
      </c>
      <c r="B1" s="10" t="s">
        <v>55</v>
      </c>
      <c r="C1" s="11" t="s">
        <v>3</v>
      </c>
      <c r="D1" s="47">
        <v>20450</v>
      </c>
      <c r="G1"/>
    </row>
    <row r="2" spans="1:7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  <c r="G2"/>
    </row>
    <row r="3" spans="1:7" x14ac:dyDescent="0.25">
      <c r="B3" s="2" t="s">
        <v>76</v>
      </c>
      <c r="D3" s="3">
        <v>21000</v>
      </c>
    </row>
    <row r="4" spans="1:7" x14ac:dyDescent="0.25">
      <c r="C4" s="3">
        <v>550</v>
      </c>
      <c r="D4" s="3">
        <v>20450</v>
      </c>
    </row>
  </sheetData>
  <hyperlinks>
    <hyperlink ref="A1" location="Reference!A1" display="Reference" xr:uid="{175127EF-EE3E-4468-8DBC-CF1343FF48EC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D5"/>
  <sheetViews>
    <sheetView workbookViewId="0">
      <selection activeCell="C18" sqref="C18"/>
    </sheetView>
  </sheetViews>
  <sheetFormatPr defaultRowHeight="15.75" x14ac:dyDescent="0.25"/>
  <cols>
    <col min="1" max="1" width="11.5703125" style="4" customWidth="1"/>
    <col min="2" max="2" width="53" style="2" customWidth="1"/>
    <col min="3" max="3" width="22.7109375" style="3" customWidth="1"/>
    <col min="4" max="4" width="23" style="3" customWidth="1"/>
    <col min="6" max="6" width="32" customWidth="1"/>
    <col min="7" max="7" width="10.5703125" bestFit="1" customWidth="1"/>
  </cols>
  <sheetData>
    <row r="1" spans="1:4" ht="21" x14ac:dyDescent="0.25">
      <c r="A1" s="48" t="s">
        <v>71</v>
      </c>
      <c r="B1" s="10" t="s">
        <v>56</v>
      </c>
      <c r="C1" s="11" t="s">
        <v>4</v>
      </c>
      <c r="D1" s="47">
        <v>48500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31</v>
      </c>
      <c r="C3" s="6"/>
      <c r="D3" s="6">
        <v>50000</v>
      </c>
    </row>
    <row r="4" spans="1:4" x14ac:dyDescent="0.25">
      <c r="C4" s="3">
        <v>1000</v>
      </c>
      <c r="D4" s="3">
        <v>49000</v>
      </c>
    </row>
    <row r="5" spans="1:4" x14ac:dyDescent="0.25">
      <c r="C5" s="3">
        <v>500</v>
      </c>
      <c r="D5" s="3">
        <v>48500</v>
      </c>
    </row>
  </sheetData>
  <hyperlinks>
    <hyperlink ref="A1" location="Reference!A1" display="Reference" xr:uid="{EEC4D05B-5A3F-4DC8-B3C2-6798057C6F6C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M5"/>
  <sheetViews>
    <sheetView zoomScale="84" zoomScaleNormal="84" workbookViewId="0">
      <selection activeCell="J12" sqref="J12"/>
    </sheetView>
  </sheetViews>
  <sheetFormatPr defaultRowHeight="15.75" x14ac:dyDescent="0.25"/>
  <cols>
    <col min="1" max="1" width="12.42578125" style="4" customWidth="1"/>
    <col min="2" max="2" width="53" style="2" customWidth="1"/>
    <col min="3" max="4" width="21.7109375" style="3" customWidth="1"/>
    <col min="6" max="6" width="11.5703125" style="44" bestFit="1" customWidth="1"/>
    <col min="7" max="8" width="11.5703125" bestFit="1" customWidth="1"/>
    <col min="11" max="11" width="35.85546875" customWidth="1"/>
    <col min="12" max="12" width="20.7109375" customWidth="1"/>
    <col min="13" max="13" width="15" style="44" customWidth="1"/>
    <col min="14" max="14" width="12.28515625" bestFit="1" customWidth="1"/>
    <col min="15" max="15" width="11.5703125" bestFit="1" customWidth="1"/>
  </cols>
  <sheetData>
    <row r="1" spans="1:13" ht="21" x14ac:dyDescent="0.25">
      <c r="A1" s="48" t="s">
        <v>71</v>
      </c>
      <c r="B1" s="10" t="s">
        <v>57</v>
      </c>
      <c r="C1" s="11" t="s">
        <v>5</v>
      </c>
      <c r="D1" s="47">
        <v>48000</v>
      </c>
      <c r="F1"/>
      <c r="M1"/>
    </row>
    <row r="2" spans="1:13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  <c r="F2"/>
      <c r="M2"/>
    </row>
    <row r="3" spans="1:13" x14ac:dyDescent="0.25">
      <c r="A3" s="9"/>
      <c r="B3" s="5" t="s">
        <v>31</v>
      </c>
      <c r="C3" s="6"/>
      <c r="D3" s="6">
        <v>50000</v>
      </c>
    </row>
    <row r="4" spans="1:13" x14ac:dyDescent="0.25">
      <c r="C4" s="3">
        <v>500</v>
      </c>
      <c r="D4" s="3">
        <v>49500</v>
      </c>
    </row>
    <row r="5" spans="1:13" x14ac:dyDescent="0.25">
      <c r="C5" s="3">
        <v>1500</v>
      </c>
      <c r="D5" s="3">
        <v>48000</v>
      </c>
    </row>
  </sheetData>
  <hyperlinks>
    <hyperlink ref="A1" location="Reference!A1" display="Reference" xr:uid="{62CC92C7-70F4-4937-B4C7-7D5DE4643B9B}"/>
  </hyperlink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5"/>
  <sheetViews>
    <sheetView workbookViewId="0">
      <selection activeCell="B14" sqref="B14"/>
    </sheetView>
  </sheetViews>
  <sheetFormatPr defaultRowHeight="15.75" x14ac:dyDescent="0.25"/>
  <cols>
    <col min="1" max="1" width="11" style="4" bestFit="1" customWidth="1"/>
    <col min="2" max="2" width="53" style="2" customWidth="1"/>
    <col min="3" max="3" width="22.7109375" style="3" customWidth="1"/>
    <col min="4" max="4" width="23" style="3" customWidth="1"/>
  </cols>
  <sheetData>
    <row r="1" spans="1:4" ht="21" x14ac:dyDescent="0.25">
      <c r="A1" s="48" t="s">
        <v>71</v>
      </c>
      <c r="B1" s="10" t="s">
        <v>58</v>
      </c>
      <c r="C1" s="11" t="s">
        <v>6</v>
      </c>
      <c r="D1" s="47">
        <v>14500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31</v>
      </c>
      <c r="C3" s="6"/>
      <c r="D3" s="6">
        <v>15000</v>
      </c>
    </row>
    <row r="4" spans="1:4" x14ac:dyDescent="0.25">
      <c r="A4" s="7"/>
      <c r="B4" s="1"/>
      <c r="C4" s="8">
        <v>500</v>
      </c>
      <c r="D4" s="8">
        <v>14500</v>
      </c>
    </row>
    <row r="5" spans="1:4" x14ac:dyDescent="0.25">
      <c r="A5" s="62"/>
      <c r="B5" s="63"/>
      <c r="C5" s="64"/>
      <c r="D5" s="64">
        <v>14500</v>
      </c>
    </row>
  </sheetData>
  <hyperlinks>
    <hyperlink ref="A1" location="Reference!A1" display="Reference" xr:uid="{9457C9AB-6C78-4121-9C2A-26629819809A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D4"/>
  <sheetViews>
    <sheetView workbookViewId="0">
      <selection activeCell="F8" sqref="F8"/>
    </sheetView>
  </sheetViews>
  <sheetFormatPr defaultRowHeight="15.75" x14ac:dyDescent="0.25"/>
  <cols>
    <col min="1" max="1" width="12" style="4" customWidth="1"/>
    <col min="2" max="2" width="53" style="2" customWidth="1"/>
    <col min="3" max="3" width="22.7109375" style="3" customWidth="1"/>
    <col min="4" max="4" width="23" style="3" customWidth="1"/>
    <col min="6" max="6" width="28.7109375" customWidth="1"/>
    <col min="7" max="7" width="10.5703125" bestFit="1" customWidth="1"/>
  </cols>
  <sheetData>
    <row r="1" spans="1:4" ht="21" x14ac:dyDescent="0.25">
      <c r="A1" s="48" t="s">
        <v>71</v>
      </c>
      <c r="B1" s="10" t="s">
        <v>59</v>
      </c>
      <c r="C1" s="11" t="s">
        <v>7</v>
      </c>
      <c r="D1" s="47">
        <v>77000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23</v>
      </c>
      <c r="C3" s="6"/>
      <c r="D3" s="6">
        <v>77244</v>
      </c>
    </row>
    <row r="4" spans="1:4" x14ac:dyDescent="0.25">
      <c r="C4" s="3">
        <v>244</v>
      </c>
      <c r="D4" s="3">
        <v>77000</v>
      </c>
    </row>
  </sheetData>
  <hyperlinks>
    <hyperlink ref="A1" location="Reference!A1" display="Reference" xr:uid="{D585C945-1D58-4582-9A09-986D33C0FB1C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5"/>
  <sheetViews>
    <sheetView workbookViewId="0">
      <selection activeCell="H13" sqref="H13"/>
    </sheetView>
  </sheetViews>
  <sheetFormatPr defaultRowHeight="15.75" x14ac:dyDescent="0.25"/>
  <cols>
    <col min="1" max="1" width="11" style="4" bestFit="1" customWidth="1"/>
    <col min="2" max="2" width="53" style="2" customWidth="1"/>
    <col min="3" max="3" width="22.7109375" style="3" customWidth="1"/>
    <col min="4" max="4" width="23" style="3" customWidth="1"/>
  </cols>
  <sheetData>
    <row r="1" spans="1:4" ht="21" x14ac:dyDescent="0.25">
      <c r="A1" s="48" t="s">
        <v>71</v>
      </c>
      <c r="B1" s="10" t="s">
        <v>60</v>
      </c>
      <c r="C1" s="11" t="s">
        <v>7</v>
      </c>
      <c r="D1" s="47">
        <v>13500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23</v>
      </c>
      <c r="C3" s="6"/>
      <c r="D3" s="6">
        <v>15000</v>
      </c>
    </row>
    <row r="4" spans="1:4" x14ac:dyDescent="0.25">
      <c r="C4" s="3">
        <v>1000</v>
      </c>
      <c r="D4" s="3">
        <v>14000</v>
      </c>
    </row>
    <row r="5" spans="1:4" x14ac:dyDescent="0.25">
      <c r="C5" s="3">
        <v>500</v>
      </c>
      <c r="D5" s="3">
        <v>13500</v>
      </c>
    </row>
  </sheetData>
  <hyperlinks>
    <hyperlink ref="A1" location="Reference!A1" display="Reference" xr:uid="{15751CA2-DEE4-4DA3-9B6C-1D938531DDCA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D4"/>
  <sheetViews>
    <sheetView workbookViewId="0">
      <selection activeCell="I15" sqref="I15"/>
    </sheetView>
  </sheetViews>
  <sheetFormatPr defaultRowHeight="15.75" x14ac:dyDescent="0.25"/>
  <cols>
    <col min="1" max="1" width="11" style="4" bestFit="1" customWidth="1"/>
    <col min="2" max="2" width="53" style="2" customWidth="1"/>
    <col min="3" max="3" width="22.7109375" style="3" customWidth="1"/>
    <col min="4" max="4" width="23" style="3" customWidth="1"/>
  </cols>
  <sheetData>
    <row r="1" spans="1:4" ht="21" x14ac:dyDescent="0.25">
      <c r="A1" s="48" t="s">
        <v>71</v>
      </c>
      <c r="B1" s="10" t="s">
        <v>61</v>
      </c>
      <c r="C1" s="11" t="s">
        <v>7</v>
      </c>
      <c r="D1" s="47">
        <v>20500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23</v>
      </c>
      <c r="C3" s="6"/>
      <c r="D3" s="6">
        <v>21000</v>
      </c>
    </row>
    <row r="4" spans="1:4" x14ac:dyDescent="0.25">
      <c r="C4" s="3">
        <v>500</v>
      </c>
      <c r="D4" s="3">
        <v>20500</v>
      </c>
    </row>
  </sheetData>
  <hyperlinks>
    <hyperlink ref="A1" location="Reference!A1" display="Reference" xr:uid="{140C1310-815B-4216-95D6-AD50DEFD7334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D5"/>
  <sheetViews>
    <sheetView workbookViewId="0">
      <selection activeCell="H6" sqref="H6"/>
    </sheetView>
  </sheetViews>
  <sheetFormatPr defaultRowHeight="15.75" x14ac:dyDescent="0.25"/>
  <cols>
    <col min="1" max="1" width="11" style="4" bestFit="1" customWidth="1"/>
    <col min="2" max="2" width="59.85546875" style="2" bestFit="1" customWidth="1"/>
    <col min="3" max="3" width="22.7109375" style="3" customWidth="1"/>
    <col min="4" max="4" width="23" style="3" customWidth="1"/>
    <col min="5" max="5" width="19.85546875" customWidth="1"/>
  </cols>
  <sheetData>
    <row r="1" spans="1:4" ht="21" x14ac:dyDescent="0.25">
      <c r="A1" s="48" t="s">
        <v>71</v>
      </c>
      <c r="B1" s="10" t="s">
        <v>62</v>
      </c>
      <c r="C1" s="11" t="s">
        <v>7</v>
      </c>
      <c r="D1" s="47">
        <v>8000</v>
      </c>
    </row>
    <row r="2" spans="1:4" ht="21.75" customHeight="1" x14ac:dyDescent="0.25">
      <c r="A2" s="53" t="s">
        <v>72</v>
      </c>
      <c r="B2" s="54" t="s">
        <v>73</v>
      </c>
      <c r="C2" s="55" t="s">
        <v>74</v>
      </c>
      <c r="D2" s="56" t="s">
        <v>75</v>
      </c>
    </row>
    <row r="3" spans="1:4" x14ac:dyDescent="0.25">
      <c r="A3" s="9"/>
      <c r="B3" s="5" t="s">
        <v>23</v>
      </c>
      <c r="C3" s="6"/>
      <c r="D3" s="6">
        <v>9000</v>
      </c>
    </row>
    <row r="4" spans="1:4" x14ac:dyDescent="0.25">
      <c r="C4" s="3">
        <v>500</v>
      </c>
      <c r="D4" s="3">
        <v>8500</v>
      </c>
    </row>
    <row r="5" spans="1:4" x14ac:dyDescent="0.25">
      <c r="C5" s="3">
        <v>500</v>
      </c>
      <c r="D5" s="3">
        <v>8000</v>
      </c>
    </row>
  </sheetData>
  <hyperlinks>
    <hyperlink ref="A1" location="Reference!A1" display="Reference" xr:uid="{BB08600A-4552-4ED1-9E2C-EF27D266C304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2DF6-1707-4A91-A450-D2F9C219DE41}">
  <sheetPr codeName="Sheet18"/>
  <dimension ref="A1:D4"/>
  <sheetViews>
    <sheetView workbookViewId="0"/>
  </sheetViews>
  <sheetFormatPr defaultRowHeight="15.75" x14ac:dyDescent="0.25"/>
  <cols>
    <col min="1" max="1" width="11" style="4" bestFit="1" customWidth="1"/>
    <col min="2" max="2" width="59.85546875" style="2" bestFit="1" customWidth="1"/>
    <col min="3" max="3" width="22.7109375" style="3" customWidth="1"/>
    <col min="4" max="4" width="23" style="3" customWidth="1"/>
    <col min="5" max="5" width="19.85546875" customWidth="1"/>
  </cols>
  <sheetData>
    <row r="1" spans="1:4" ht="21" x14ac:dyDescent="0.25">
      <c r="A1" s="48" t="s">
        <v>71</v>
      </c>
      <c r="B1" s="10" t="s">
        <v>63</v>
      </c>
      <c r="C1" s="11" t="s">
        <v>8</v>
      </c>
      <c r="D1" s="47">
        <v>74688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x14ac:dyDescent="0.25">
      <c r="A3" s="65"/>
      <c r="B3" s="66" t="s">
        <v>23</v>
      </c>
      <c r="C3" s="67"/>
      <c r="D3" s="68">
        <v>111232</v>
      </c>
    </row>
    <row r="4" spans="1:4" x14ac:dyDescent="0.25">
      <c r="C4" s="3">
        <v>36544</v>
      </c>
      <c r="D4" s="3">
        <v>74688</v>
      </c>
    </row>
  </sheetData>
  <hyperlinks>
    <hyperlink ref="A1" location="Reference!A1" display="Reference" xr:uid="{2616CDB2-82B2-451A-A3A5-95FD7660D65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532AA-1313-4DCA-91C8-BFB71EBF857E}">
  <sheetPr codeName="Sheet19"/>
  <dimension ref="A1:D4"/>
  <sheetViews>
    <sheetView workbookViewId="0">
      <selection activeCell="C18" sqref="C18"/>
    </sheetView>
  </sheetViews>
  <sheetFormatPr defaultRowHeight="15" x14ac:dyDescent="0.25"/>
  <cols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64</v>
      </c>
      <c r="C1" s="11" t="s">
        <v>9</v>
      </c>
      <c r="D1" s="47">
        <v>7000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B3" s="51" t="s">
        <v>76</v>
      </c>
      <c r="C3" s="57"/>
      <c r="D3" s="58">
        <v>7200</v>
      </c>
    </row>
    <row r="4" spans="1:4" x14ac:dyDescent="0.25">
      <c r="C4">
        <v>200</v>
      </c>
      <c r="D4">
        <v>7000</v>
      </c>
    </row>
  </sheetData>
  <hyperlinks>
    <hyperlink ref="A1" location="Reference!A1" display="Reference" xr:uid="{0E291D90-5B88-4321-8F9E-3C4CDAA43B4E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46DC-3A07-4690-8734-79C15754940D}">
  <sheetPr codeName="Sheet20"/>
  <dimension ref="A1:D4"/>
  <sheetViews>
    <sheetView workbookViewId="0">
      <selection activeCell="D15" sqref="D15"/>
    </sheetView>
  </sheetViews>
  <sheetFormatPr defaultRowHeight="15" x14ac:dyDescent="0.25"/>
  <cols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65</v>
      </c>
      <c r="C1" s="11" t="s">
        <v>10</v>
      </c>
      <c r="D1" s="47">
        <v>23000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A3" s="73"/>
      <c r="B3" s="51" t="s">
        <v>76</v>
      </c>
      <c r="C3" s="57"/>
      <c r="D3" s="58">
        <v>23174</v>
      </c>
    </row>
    <row r="4" spans="1:4" x14ac:dyDescent="0.25">
      <c r="C4">
        <v>174</v>
      </c>
      <c r="D4">
        <v>23000</v>
      </c>
    </row>
  </sheetData>
  <hyperlinks>
    <hyperlink ref="A1" location="Reference!A1" display="Reference" xr:uid="{A782758C-3DAF-48A4-95BE-F43827DF6C4D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A0F42-3E0A-45E7-B8D8-09415248099C}">
  <sheetPr codeName="Sheet21"/>
  <dimension ref="A1:D4"/>
  <sheetViews>
    <sheetView workbookViewId="0">
      <selection activeCell="C15" sqref="C15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66</v>
      </c>
      <c r="C1" s="11" t="s">
        <v>11</v>
      </c>
      <c r="D1" s="47">
        <v>3500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A3" s="73"/>
      <c r="B3" s="51" t="s">
        <v>76</v>
      </c>
      <c r="C3" s="57"/>
      <c r="D3" s="58">
        <v>3600</v>
      </c>
    </row>
    <row r="4" spans="1:4" x14ac:dyDescent="0.25">
      <c r="C4">
        <v>100</v>
      </c>
      <c r="D4">
        <v>3500</v>
      </c>
    </row>
  </sheetData>
  <hyperlinks>
    <hyperlink ref="A1" location="Reference!A1" display="Reference" xr:uid="{6ACF92AC-F832-47AA-A693-6492E02A4F2D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67EC-0D2D-4896-A656-D4632662511B}">
  <sheetPr codeName="Sheet22"/>
  <dimension ref="A1:D4"/>
  <sheetViews>
    <sheetView workbookViewId="0">
      <selection activeCell="D19" sqref="D19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67</v>
      </c>
      <c r="C1" s="11" t="s">
        <v>77</v>
      </c>
      <c r="D1" s="47">
        <v>5000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B3" s="51" t="s">
        <v>76</v>
      </c>
      <c r="C3" s="57"/>
      <c r="D3" s="44">
        <v>5000</v>
      </c>
    </row>
    <row r="4" spans="1:4" x14ac:dyDescent="0.25">
      <c r="D4" s="44">
        <v>5000</v>
      </c>
    </row>
  </sheetData>
  <hyperlinks>
    <hyperlink ref="A1" location="Reference!A1" display="Reference" xr:uid="{44DFE268-F178-4AC0-8DEE-C116AFB6EF76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E428A-D4A4-44A4-871F-E6624590BF00}">
  <sheetPr codeName="Sheet23"/>
  <dimension ref="A1:D4"/>
  <sheetViews>
    <sheetView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68</v>
      </c>
      <c r="C1" s="11" t="s">
        <v>12</v>
      </c>
      <c r="D1" s="47">
        <v>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A3" s="45"/>
      <c r="B3" s="74" t="s">
        <v>76</v>
      </c>
      <c r="C3" s="96"/>
      <c r="D3" s="90">
        <v>0</v>
      </c>
    </row>
    <row r="4" spans="1:4" x14ac:dyDescent="0.25">
      <c r="A4" s="75"/>
      <c r="B4" s="75"/>
      <c r="C4" s="92"/>
      <c r="D4" s="92">
        <v>0</v>
      </c>
    </row>
  </sheetData>
  <hyperlinks>
    <hyperlink ref="A1" location="Reference!A1" display="Reference" xr:uid="{7619B461-DB54-41EF-AD4A-6D65665E9761}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449BC-3927-4CEA-92F3-F850A3474550}">
  <sheetPr codeName="Sheet24"/>
  <dimension ref="A1:D4"/>
  <sheetViews>
    <sheetView workbookViewId="0">
      <selection activeCell="D15" sqref="D15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69</v>
      </c>
      <c r="C1" s="11" t="s">
        <v>12</v>
      </c>
      <c r="D1" s="47">
        <v>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ht="15.75" x14ac:dyDescent="0.25">
      <c r="A3" s="45"/>
      <c r="B3" s="74" t="s">
        <v>76</v>
      </c>
      <c r="C3" s="96"/>
      <c r="D3" s="90">
        <v>0</v>
      </c>
    </row>
    <row r="4" spans="1:4" x14ac:dyDescent="0.25">
      <c r="A4" s="75"/>
      <c r="B4" s="75"/>
      <c r="C4" s="92"/>
      <c r="D4" s="92">
        <v>0</v>
      </c>
    </row>
  </sheetData>
  <hyperlinks>
    <hyperlink ref="A1" location="Reference!A1" display="Reference" xr:uid="{370D47A4-620E-4618-8198-9457E4EA6320}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23837-AC1F-4EBC-86F1-F27D0EE4D027}">
  <sheetPr codeName="Sheet25"/>
  <dimension ref="A1:D4"/>
  <sheetViews>
    <sheetView workbookViewId="0">
      <selection activeCell="D18" sqref="D18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76" t="s">
        <v>13</v>
      </c>
      <c r="C1" s="77" t="s">
        <v>14</v>
      </c>
      <c r="D1" s="78">
        <v>20000</v>
      </c>
    </row>
    <row r="2" spans="1:4" ht="21.75" customHeight="1" x14ac:dyDescent="0.25">
      <c r="A2" s="79" t="s">
        <v>72</v>
      </c>
      <c r="B2" s="80" t="s">
        <v>73</v>
      </c>
      <c r="C2" s="81" t="s">
        <v>74</v>
      </c>
      <c r="D2" s="82" t="s">
        <v>75</v>
      </c>
    </row>
    <row r="3" spans="1:4" x14ac:dyDescent="0.25">
      <c r="A3" s="83"/>
      <c r="B3" s="45" t="s">
        <v>76</v>
      </c>
      <c r="C3" s="46"/>
      <c r="D3" s="95">
        <v>20000</v>
      </c>
    </row>
    <row r="4" spans="1:4" x14ac:dyDescent="0.25">
      <c r="A4" s="84"/>
      <c r="B4" s="75"/>
      <c r="C4" s="92"/>
      <c r="D4" s="93">
        <v>20000</v>
      </c>
    </row>
  </sheetData>
  <hyperlinks>
    <hyperlink ref="A1" location="Reference!A1" display="Reference" xr:uid="{2E34723B-078A-452A-9E0B-DF9E1D3725A0}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A24CC-271F-4256-9B03-8E78EA4D8E79}">
  <sheetPr codeName="Sheet26"/>
  <dimension ref="A1:D4"/>
  <sheetViews>
    <sheetView workbookViewId="0">
      <selection activeCell="D16" sqref="D16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25</v>
      </c>
      <c r="C1" s="11" t="s">
        <v>14</v>
      </c>
      <c r="D1" s="47">
        <v>10000</v>
      </c>
    </row>
    <row r="2" spans="1:4" ht="21.75" customHeight="1" x14ac:dyDescent="0.25">
      <c r="A2" s="86" t="s">
        <v>72</v>
      </c>
      <c r="B2" s="70" t="s">
        <v>73</v>
      </c>
      <c r="C2" s="71" t="s">
        <v>74</v>
      </c>
      <c r="D2" s="71" t="s">
        <v>75</v>
      </c>
    </row>
    <row r="3" spans="1:4" x14ac:dyDescent="0.25">
      <c r="A3" s="87"/>
      <c r="B3" s="85" t="s">
        <v>76</v>
      </c>
      <c r="C3" s="90"/>
      <c r="D3" s="91">
        <v>10000</v>
      </c>
    </row>
    <row r="4" spans="1:4" x14ac:dyDescent="0.25">
      <c r="C4" s="44"/>
      <c r="D4" s="44">
        <v>10000</v>
      </c>
    </row>
  </sheetData>
  <hyperlinks>
    <hyperlink ref="A1" location="Reference!A1" display="Reference" xr:uid="{3F7B7E4D-F72C-40B4-A596-0E03A0E25DAB}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7E045-640A-4B8F-8588-E46EE0170392}">
  <sheetPr codeName="Sheet27"/>
  <dimension ref="A1:D4"/>
  <sheetViews>
    <sheetView workbookViewId="0">
      <selection activeCell="C10" sqref="C10"/>
    </sheetView>
  </sheetViews>
  <sheetFormatPr defaultRowHeight="15" x14ac:dyDescent="0.25"/>
  <cols>
    <col min="1" max="1" width="10.42578125" bestFit="1" customWidth="1"/>
    <col min="2" max="2" width="56.570312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88" t="s">
        <v>70</v>
      </c>
      <c r="C1" s="11" t="s">
        <v>78</v>
      </c>
      <c r="D1" s="47">
        <v>68000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x14ac:dyDescent="0.25">
      <c r="A3" s="85"/>
      <c r="B3" s="85" t="s">
        <v>76</v>
      </c>
      <c r="C3" s="90"/>
      <c r="D3" s="90">
        <v>68000</v>
      </c>
    </row>
    <row r="4" spans="1:4" x14ac:dyDescent="0.25">
      <c r="C4" s="44"/>
      <c r="D4" s="44">
        <v>68000</v>
      </c>
    </row>
  </sheetData>
  <hyperlinks>
    <hyperlink ref="A1" location="Reference!A1" display="Reference" xr:uid="{818268B3-5704-44B9-B89A-DAC260DFD1A0}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A4079-87AC-486F-A55E-1A39EA62C513}">
  <sheetPr codeName="Sheet28"/>
  <dimension ref="A1:D4"/>
  <sheetViews>
    <sheetView workbookViewId="0">
      <selection activeCell="C10" sqref="C10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10" t="s">
        <v>26</v>
      </c>
      <c r="C1" s="11" t="s">
        <v>27</v>
      </c>
      <c r="D1" s="47">
        <v>84000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x14ac:dyDescent="0.25">
      <c r="A3" s="85"/>
      <c r="B3" s="85" t="s">
        <v>76</v>
      </c>
      <c r="C3" s="90"/>
      <c r="D3" s="90">
        <v>84000</v>
      </c>
    </row>
    <row r="4" spans="1:4" x14ac:dyDescent="0.25">
      <c r="C4" s="44"/>
      <c r="D4" s="44">
        <v>84000</v>
      </c>
    </row>
  </sheetData>
  <hyperlinks>
    <hyperlink ref="A1" location="Reference!A1" display="Reference" xr:uid="{30E8D4DF-2203-4DA8-9BB4-4A28541B87D8}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9B8C-192A-45E9-B3A1-1B0C05BBFC06}">
  <sheetPr codeName="Sheet29"/>
  <dimension ref="A1:D4"/>
  <sheetViews>
    <sheetView workbookViewId="0">
      <selection activeCell="C13" sqref="C13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76" t="s">
        <v>15</v>
      </c>
      <c r="C1" s="77" t="s">
        <v>16</v>
      </c>
      <c r="D1" s="78">
        <v>50000</v>
      </c>
    </row>
    <row r="2" spans="1:4" ht="21.75" customHeight="1" x14ac:dyDescent="0.25">
      <c r="A2" s="89" t="s">
        <v>72</v>
      </c>
      <c r="B2" s="80" t="s">
        <v>73</v>
      </c>
      <c r="C2" s="94" t="s">
        <v>74</v>
      </c>
      <c r="D2" s="94" t="s">
        <v>75</v>
      </c>
    </row>
    <row r="3" spans="1:4" x14ac:dyDescent="0.25">
      <c r="A3" s="85"/>
      <c r="B3" s="85" t="s">
        <v>76</v>
      </c>
      <c r="C3" s="90"/>
      <c r="D3" s="90">
        <v>50000</v>
      </c>
    </row>
    <row r="4" spans="1:4" x14ac:dyDescent="0.25">
      <c r="A4" s="45"/>
      <c r="B4" s="45"/>
      <c r="C4" s="46"/>
      <c r="D4" s="46">
        <v>50000</v>
      </c>
    </row>
  </sheetData>
  <hyperlinks>
    <hyperlink ref="A1" location="Reference!A1" display="Reference" xr:uid="{C434841C-6F9F-4C43-AC2A-398245DADC7F}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C990-7E88-428F-9919-BEDFE3D09202}">
  <sheetPr codeName="Sheet30"/>
  <dimension ref="A1:D4"/>
  <sheetViews>
    <sheetView workbookViewId="0">
      <selection activeCell="C16" sqref="C16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customWidth="1"/>
    <col min="4" max="4" width="23" customWidth="1"/>
  </cols>
  <sheetData>
    <row r="1" spans="1:4" ht="21" x14ac:dyDescent="0.25">
      <c r="A1" s="48" t="s">
        <v>71</v>
      </c>
      <c r="B1" s="76" t="s">
        <v>17</v>
      </c>
      <c r="C1" s="77" t="s">
        <v>18</v>
      </c>
      <c r="D1" s="78">
        <v>540000</v>
      </c>
    </row>
    <row r="2" spans="1:4" ht="21.75" customHeight="1" x14ac:dyDescent="0.25">
      <c r="A2" s="79" t="s">
        <v>72</v>
      </c>
      <c r="B2" s="80" t="s">
        <v>73</v>
      </c>
      <c r="C2" s="81" t="s">
        <v>74</v>
      </c>
      <c r="D2" s="82" t="s">
        <v>75</v>
      </c>
    </row>
    <row r="3" spans="1:4" x14ac:dyDescent="0.25">
      <c r="A3" s="87"/>
      <c r="B3" s="85" t="s">
        <v>76</v>
      </c>
      <c r="C3" s="90"/>
      <c r="D3" s="91">
        <v>546000</v>
      </c>
    </row>
    <row r="4" spans="1:4" x14ac:dyDescent="0.25">
      <c r="A4" s="84"/>
      <c r="B4" s="75"/>
      <c r="C4" s="92">
        <v>6000</v>
      </c>
      <c r="D4" s="93">
        <v>540000</v>
      </c>
    </row>
  </sheetData>
  <hyperlinks>
    <hyperlink ref="A1" location="Reference!A1" display="Reference" xr:uid="{D03FCD7D-DCCA-433F-A0FB-B07A81B3474A}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F6D31-2DFE-49FD-94B6-C231E318B8A1}">
  <sheetPr codeName="Sheet31"/>
  <dimension ref="A1:D4"/>
  <sheetViews>
    <sheetView workbookViewId="0">
      <selection activeCell="C13" sqref="C13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style="44" customWidth="1"/>
    <col min="4" max="4" width="23" style="44" customWidth="1"/>
  </cols>
  <sheetData>
    <row r="1" spans="1:4" ht="21" x14ac:dyDescent="0.25">
      <c r="A1" s="48" t="s">
        <v>71</v>
      </c>
      <c r="B1" s="77" t="s">
        <v>19</v>
      </c>
      <c r="C1" s="77" t="s">
        <v>20</v>
      </c>
      <c r="D1" s="78">
        <v>50000</v>
      </c>
    </row>
    <row r="2" spans="1:4" ht="21.75" customHeight="1" x14ac:dyDescent="0.25">
      <c r="A2" s="79" t="s">
        <v>72</v>
      </c>
      <c r="B2" s="80" t="s">
        <v>73</v>
      </c>
      <c r="C2" s="81" t="s">
        <v>74</v>
      </c>
      <c r="D2" s="82" t="s">
        <v>75</v>
      </c>
    </row>
    <row r="3" spans="1:4" x14ac:dyDescent="0.25">
      <c r="A3" s="87"/>
      <c r="B3" s="85" t="s">
        <v>76</v>
      </c>
      <c r="C3" s="90"/>
      <c r="D3" s="97">
        <v>50000</v>
      </c>
    </row>
    <row r="4" spans="1:4" x14ac:dyDescent="0.25">
      <c r="A4" s="84"/>
      <c r="B4" s="75"/>
      <c r="C4" s="92"/>
      <c r="D4" s="93">
        <v>50000</v>
      </c>
    </row>
  </sheetData>
  <hyperlinks>
    <hyperlink ref="A1" location="Reference!A1" display="Reference" xr:uid="{92645794-E3AD-4479-A792-1C1EFD0DF769}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5FFB-D7AE-415A-9AEF-F35880A706FE}">
  <sheetPr codeName="Sheet32"/>
  <dimension ref="A1:D4"/>
  <sheetViews>
    <sheetView workbookViewId="0">
      <selection activeCell="C18" sqref="C18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style="44" customWidth="1"/>
    <col min="4" max="4" width="23" style="44" customWidth="1"/>
  </cols>
  <sheetData>
    <row r="1" spans="1:4" ht="21" x14ac:dyDescent="0.25">
      <c r="A1" s="48" t="s">
        <v>71</v>
      </c>
      <c r="B1" s="76" t="s">
        <v>28</v>
      </c>
      <c r="C1" s="77" t="s">
        <v>29</v>
      </c>
      <c r="D1" s="78">
        <v>100000</v>
      </c>
    </row>
    <row r="2" spans="1:4" ht="21.75" customHeight="1" x14ac:dyDescent="0.25">
      <c r="A2" s="89" t="s">
        <v>72</v>
      </c>
      <c r="B2" s="80" t="s">
        <v>73</v>
      </c>
      <c r="C2" s="81" t="s">
        <v>74</v>
      </c>
      <c r="D2" s="81" t="s">
        <v>75</v>
      </c>
    </row>
    <row r="3" spans="1:4" x14ac:dyDescent="0.25">
      <c r="A3" s="85"/>
      <c r="B3" s="85" t="s">
        <v>76</v>
      </c>
      <c r="C3" s="90"/>
      <c r="D3" s="90">
        <v>100000</v>
      </c>
    </row>
    <row r="4" spans="1:4" x14ac:dyDescent="0.25">
      <c r="D4" s="44">
        <v>100000</v>
      </c>
    </row>
  </sheetData>
  <hyperlinks>
    <hyperlink ref="A1" location="Reference!A1" display="Reference" xr:uid="{5E93E7F6-6FF6-4849-9A6E-0AE4429FB90D}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57C6-09A8-44F2-9FA7-842D401678C7}">
  <sheetPr codeName="Sheet33"/>
  <dimension ref="A1:D4"/>
  <sheetViews>
    <sheetView workbookViewId="0">
      <selection activeCell="D17" sqref="D17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style="44" customWidth="1"/>
    <col min="4" max="4" width="23" style="44" customWidth="1"/>
  </cols>
  <sheetData>
    <row r="1" spans="1:4" ht="21" x14ac:dyDescent="0.25">
      <c r="A1" s="48" t="s">
        <v>71</v>
      </c>
      <c r="B1" s="10" t="s">
        <v>30</v>
      </c>
      <c r="C1" s="11" t="s">
        <v>29</v>
      </c>
      <c r="D1" s="47">
        <v>20000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x14ac:dyDescent="0.25">
      <c r="A3" s="85"/>
      <c r="B3" s="85" t="s">
        <v>76</v>
      </c>
      <c r="C3" s="90"/>
      <c r="D3" s="90">
        <v>20000</v>
      </c>
    </row>
    <row r="4" spans="1:4" x14ac:dyDescent="0.25">
      <c r="A4" s="75"/>
      <c r="B4" s="75"/>
      <c r="C4" s="92"/>
      <c r="D4" s="92">
        <v>20000</v>
      </c>
    </row>
  </sheetData>
  <hyperlinks>
    <hyperlink ref="A1" location="Reference!A1" display="Reference" xr:uid="{A68B4A4A-EFF7-445B-82B0-2F0C94DEE095}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76C1-DED2-4D1F-AF8E-B72F102D1FB6}">
  <sheetPr codeName="Sheet34"/>
  <dimension ref="A1:D4"/>
  <sheetViews>
    <sheetView workbookViewId="0">
      <selection activeCell="D28" sqref="D28"/>
    </sheetView>
  </sheetViews>
  <sheetFormatPr defaultRowHeight="15" x14ac:dyDescent="0.25"/>
  <cols>
    <col min="1" max="1" width="10.42578125" bestFit="1" customWidth="1"/>
    <col min="2" max="2" width="52.85546875" bestFit="1" customWidth="1"/>
    <col min="3" max="3" width="22.7109375" style="44" customWidth="1"/>
    <col min="4" max="4" width="23" style="44" customWidth="1"/>
  </cols>
  <sheetData>
    <row r="1" spans="1:4" ht="21" x14ac:dyDescent="0.25">
      <c r="A1" s="48" t="s">
        <v>71</v>
      </c>
      <c r="B1" s="10" t="s">
        <v>21</v>
      </c>
      <c r="C1" s="11" t="s">
        <v>22</v>
      </c>
      <c r="D1" s="47">
        <v>200000</v>
      </c>
    </row>
    <row r="2" spans="1:4" ht="21.75" customHeight="1" x14ac:dyDescent="0.25">
      <c r="A2" s="69" t="s">
        <v>72</v>
      </c>
      <c r="B2" s="70" t="s">
        <v>73</v>
      </c>
      <c r="C2" s="71" t="s">
        <v>74</v>
      </c>
      <c r="D2" s="72" t="s">
        <v>75</v>
      </c>
    </row>
    <row r="3" spans="1:4" x14ac:dyDescent="0.25">
      <c r="A3" s="90"/>
      <c r="B3" s="90" t="s">
        <v>76</v>
      </c>
      <c r="C3" s="90"/>
      <c r="D3" s="90">
        <v>201710</v>
      </c>
    </row>
    <row r="4" spans="1:4" x14ac:dyDescent="0.25">
      <c r="A4" s="46"/>
      <c r="B4" s="46"/>
      <c r="C4" s="46">
        <v>1710</v>
      </c>
      <c r="D4" s="46">
        <v>200000</v>
      </c>
    </row>
  </sheetData>
  <hyperlinks>
    <hyperlink ref="A1" location="Reference!A1" display="Reference" xr:uid="{2049C720-39BC-49BD-A56C-779A5E3EEE9A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CHARGE SLIP</vt:lpstr>
      <vt:lpstr>Reference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'CHARGE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Daday</dc:creator>
  <cp:lastModifiedBy>Spider</cp:lastModifiedBy>
  <cp:lastPrinted>2026-01-14T03:33:21Z</cp:lastPrinted>
  <dcterms:created xsi:type="dcterms:W3CDTF">2025-02-04T00:56:29Z</dcterms:created>
  <dcterms:modified xsi:type="dcterms:W3CDTF">2026-01-15T08:14:39Z</dcterms:modified>
</cp:coreProperties>
</file>